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hidePivotFieldList="1" defaultThemeVersion="166925"/>
  <mc:AlternateContent xmlns:mc="http://schemas.openxmlformats.org/markup-compatibility/2006">
    <mc:Choice Requires="x15">
      <x15ac:absPath xmlns:x15ac="http://schemas.microsoft.com/office/spreadsheetml/2010/11/ac" url="C:\Users\pkmad\OneDrive\Desktop\"/>
    </mc:Choice>
  </mc:AlternateContent>
  <xr:revisionPtr revIDLastSave="0" documentId="13_ncr:1_{D0D59E07-D53C-4CD0-A5BD-0E19B416963E}" xr6:coauthVersionLast="47" xr6:coauthVersionMax="47" xr10:uidLastSave="{00000000-0000-0000-0000-000000000000}"/>
  <bookViews>
    <workbookView xWindow="-108" yWindow="-108" windowWidth="23256" windowHeight="12456" firstSheet="1" activeTab="1" xr2:uid="{D487A481-4EE4-436B-8DB1-020A8FDA24D7}"/>
  </bookViews>
  <sheets>
    <sheet name="Pivot Report" sheetId="1" r:id="rId1"/>
    <sheet name="Dashboard" sheetId="2" r:id="rId2"/>
    <sheet name="No. of Patients visit daily" sheetId="3" r:id="rId3"/>
    <sheet name="Avg. Patient Wait Time daily" sheetId="5" r:id="rId4"/>
    <sheet name="Avg. Patient Satisfaction Score" sheetId="6" r:id="rId5"/>
  </sheets>
  <definedNames>
    <definedName name="Slicer_Date__Month">#N/A</definedName>
    <definedName name="Slicer_Date__Year">#N/A</definedName>
  </definedNames>
  <calcPr calcId="191029"/>
  <pivotCaches>
    <pivotCache cacheId="159" r:id="rId6"/>
    <pivotCache cacheId="162" r:id="rId7"/>
    <pivotCache cacheId="165" r:id="rId8"/>
    <pivotCache cacheId="168" r:id="rId9"/>
    <pivotCache cacheId="171" r:id="rId10"/>
    <pivotCache cacheId="174" r:id="rId11"/>
    <pivotCache cacheId="177" r:id="rId12"/>
    <pivotCache cacheId="180" r:id="rId13"/>
    <pivotCache cacheId="183" r:id="rId14"/>
    <pivotCache cacheId="186" r:id="rId15"/>
    <pivotCache cacheId="189" r:id="rId16"/>
    <pivotCache cacheId="192" r:id="rId17"/>
  </pivotCaches>
  <extLst>
    <ext xmlns:x14="http://schemas.microsoft.com/office/spreadsheetml/2009/9/main" uri="{876F7934-8845-4945-9796-88D515C7AA90}">
      <x14:pivotCaches>
        <pivotCache cacheId="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961585ce-448f-41cf-9241-98fc938e0097" name="Hospital Emergency Room Data" connection="Query - Hospital Emergency Room Data"/>
          <x15:modelTable id="Calendar_Table_4bb1952f-6a73-419f-af43-573ea2a74a83"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 l="1"/>
  <c r="B51" i="1"/>
  <c r="C51" i="1"/>
  <c r="A50" i="1"/>
  <c r="C50" i="1"/>
  <c r="A5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7396B0-A1F4-4BF1-A2CE-CE4996526527}" name="Query - Calendar_Table" description="Connection to the 'Calendar_Table' query in the workbook." type="100" refreshedVersion="8" minRefreshableVersion="5">
    <extLst>
      <ext xmlns:x15="http://schemas.microsoft.com/office/spreadsheetml/2010/11/main" uri="{DE250136-89BD-433C-8126-D09CA5730AF9}">
        <x15:connection id="103a4490-b8f6-4344-8344-3629aff590a4"/>
      </ext>
    </extLst>
  </connection>
  <connection id="2" xr16:uid="{4D4CC2F5-D69D-4081-803F-57E48D9D14DE}"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7880767e-c5a3-4f72-9b84-d6d1c3cb1dcf"/>
      </ext>
    </extLst>
  </connection>
  <connection id="3" xr16:uid="{C7CA6E7E-8BFB-4B12-BE43-7985CF03C30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<sst xmlns="http://schemas.openxmlformats.org/spreadsheetml/2006/main" count="156" uniqueCount="80">
  <si>
    <t>Distinct Count of Patient Id</t>
  </si>
  <si>
    <t>No. of Patients</t>
  </si>
  <si>
    <t>Average of Patient Waittime</t>
  </si>
  <si>
    <t>Average of Patient Satisfaction Score</t>
  </si>
  <si>
    <t>Grand Total</t>
  </si>
  <si>
    <t>2024</t>
  </si>
  <si>
    <t>Row Labels</t>
  </si>
  <si>
    <t>No. of Patients visit daily</t>
  </si>
  <si>
    <t>Avg Patient Wait Time daily</t>
  </si>
  <si>
    <t>Avg. Patient Satisfaction Score daily</t>
  </si>
  <si>
    <t>Avg. Patient Wait Time</t>
  </si>
  <si>
    <t>Avg. Patient Satisfaction Score</t>
  </si>
  <si>
    <t>Count of Patient Admission Status</t>
  </si>
  <si>
    <t>Count of Patient Attend Status</t>
  </si>
  <si>
    <t>Admitted</t>
  </si>
  <si>
    <t>Not Admitted</t>
  </si>
  <si>
    <t>Count of Patient Admission Status2</t>
  </si>
  <si>
    <t>Count of Patient Age Group</t>
  </si>
  <si>
    <t>0-9</t>
  </si>
  <si>
    <t>10-19</t>
  </si>
  <si>
    <t>20-29</t>
  </si>
  <si>
    <t>30-39</t>
  </si>
  <si>
    <t>40-49</t>
  </si>
  <si>
    <t>50-59</t>
  </si>
  <si>
    <t>60-69</t>
  </si>
  <si>
    <t>70-79</t>
  </si>
  <si>
    <t>Delay</t>
  </si>
  <si>
    <t>Ontime</t>
  </si>
  <si>
    <t>Female</t>
  </si>
  <si>
    <t>Male</t>
  </si>
  <si>
    <t>Count of Patient Gender</t>
  </si>
  <si>
    <t>Cardiology</t>
  </si>
  <si>
    <t>Gastroenterology</t>
  </si>
  <si>
    <t>General Practice</t>
  </si>
  <si>
    <t>Neurology</t>
  </si>
  <si>
    <t>None</t>
  </si>
  <si>
    <t>Orthopedics</t>
  </si>
  <si>
    <t>Physiotherapy</t>
  </si>
  <si>
    <t>Renal</t>
  </si>
  <si>
    <t>Count of Department Referral</t>
  </si>
  <si>
    <t>Admission Status</t>
  </si>
  <si>
    <t>Patients</t>
  </si>
  <si>
    <t>% of Total</t>
  </si>
  <si>
    <t>Status in %</t>
  </si>
  <si>
    <t>Patient Age Group</t>
  </si>
  <si>
    <t>Patient Attend Status</t>
  </si>
  <si>
    <t>Patient Gender</t>
  </si>
  <si>
    <t>Department Referral</t>
  </si>
  <si>
    <t>Year Slicer</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</si>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</sst>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3" x14ac:knownFonts="1">
    <font>
      <sz val="11"/>
      <color theme="1"/>
      <name val="Calibri"/>
      <family val="2"/>
      <scheme val="minor"/>
    </font>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8"/>
        <bgColor indexed="64"/>
      </patternFill>
    </fill>
    <fill>
      <patternFill patternType="solid">
        <fgColor theme="0"/>
        <bgColor indexed="64"/>
      </patternFill>
    </fill>
    <fill>
      <patternFill patternType="solid">
        <fgColor theme="2" tint="-0.74999237037263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0" fillId="0" borderId="0" xfId="0" pivotButton="1"/>
    <xf numFmtId="2" fontId="0" fillId="0" borderId="0" xfId="0" applyNumberFormat="1"/>
    <xf numFmtId="0" fontId="0" fillId="0" borderId="0" xfId="0" applyAlignment="1">
      <alignment horizontal="left"/>
    </xf>
    <xf numFmtId="0" fontId="0" fillId="2" borderId="0" xfId="0" applyFill="1"/>
    <xf numFmtId="1" fontId="0" fillId="0" borderId="0" xfId="0" applyNumberFormat="1"/>
    <xf numFmtId="0" fontId="0" fillId="0" borderId="0" xfId="0" pivotButton="1" applyAlignment="1">
      <alignment horizontal="left"/>
    </xf>
    <xf numFmtId="10" fontId="0" fillId="0" borderId="0" xfId="0" applyNumberFormat="1"/>
    <xf numFmtId="0" fontId="2" fillId="3" borderId="0" xfId="0" applyFont="1" applyFill="1" applyAlignment="1">
      <alignment horizontal="center"/>
    </xf>
    <xf numFmtId="0" fontId="0" fillId="4" borderId="0" xfId="0" applyFill="1" applyAlignment="1">
      <alignment horizontal="center"/>
    </xf>
    <xf numFmtId="164" fontId="0" fillId="4" borderId="0" xfId="1" applyNumberFormat="1" applyFont="1" applyFill="1" applyAlignment="1">
      <alignment horizontal="center"/>
    </xf>
    <xf numFmtId="0" fontId="0" fillId="5" borderId="0" xfId="0" applyFill="1"/>
    <xf numFmtId="0" fontId="0" fillId="0" borderId="0" xfId="0" applyNumberFormat="1"/>
  </cellXfs>
  <cellStyles count="2">
    <cellStyle name="Normal" xfId="0" builtinId="0"/>
    <cellStyle name="Percent" xfId="1" builtinId="5"/>
  </cellStyles>
  <dxfs count="80">
    <dxf>
      <numFmt numFmtId="1" formatCode="0"/>
    </dxf>
    <dxf>
      <numFmt numFmtId="1" formatCode="0"/>
    </dxf>
    <dxf>
      <numFmt numFmtId="1" formatCode="0"/>
    </dxf>
    <dxf>
      <numFmt numFmtId="1" formatCode="0"/>
    </dxf>
    <dxf>
      <numFmt numFmtId="1" formatCode="0"/>
    </dxf>
    <dxf>
      <numFmt numFmtId="1" formatCode="0"/>
    </dxf>
    <dxf>
      <alignment horizontal="left"/>
    </dxf>
    <dxf>
      <alignment horizontal="left"/>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alignment horizontal="left"/>
    </dxf>
    <dxf>
      <alignment horizontal="left"/>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alignment horizontal="left"/>
    </dxf>
    <dxf>
      <alignment horizontal="left"/>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alignment horizontal="left"/>
    </dxf>
    <dxf>
      <alignment horizontal="left"/>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alignment horizontal="left"/>
    </dxf>
    <dxf>
      <alignment horizontal="left"/>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2" formatCode="0.00"/>
    </dxf>
    <dxf>
      <numFmt numFmtId="2" formatCode="0.00"/>
    </dxf>
    <dxf>
      <numFmt numFmtId="1" formatCode="0"/>
    </dxf>
    <dxf>
      <numFmt numFmtId="1" formatCode="0"/>
    </dxf>
    <dxf>
      <numFmt numFmtId="2" formatCode="0.00"/>
    </dxf>
    <dxf>
      <numFmt numFmtId="2" formatCode="0.00"/>
    </dxf>
    <dxf>
      <numFmt numFmtId="1" formatCode="0"/>
    </dxf>
    <dxf>
      <numFmt numFmtId="14" formatCode="0.00%"/>
    </dxf>
    <dxf>
      <alignment horizontal="left"/>
    </dxf>
    <dxf>
      <alignment horizontal="left"/>
    </dxf>
    <dxf>
      <numFmt numFmtId="1" formatCode="0"/>
    </dxf>
    <dxf>
      <font>
        <b/>
        <color theme="1"/>
      </font>
      <border>
        <bottom style="thin">
          <color theme="9"/>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My Style" pivot="0" table="0" count="10" xr9:uid="{80BE07EA-98C2-4F28-B5ED-95BE35514DFF}">
      <tableStyleElement type="wholeTable" dxfId="79"/>
      <tableStyleElement type="headerRow" dxfId="78"/>
    </tableStyle>
  </tableStyles>
  <colors>
    <mruColors>
      <color rgb="FFFFFF00"/>
      <color rgb="FF00FF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79998168889431442"/>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rgb="FF00B050"/>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2.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s>
    <c:plotArea>
      <c:layout>
        <c:manualLayout>
          <c:layoutTarget val="inner"/>
          <c:xMode val="edge"/>
          <c:yMode val="edge"/>
          <c:x val="3.1521337610576447E-2"/>
          <c:y val="8.0285327237321243E-3"/>
          <c:w val="0.96847866238942359"/>
          <c:h val="0.99197146727626773"/>
        </c:manualLayout>
      </c:layout>
      <c:barChart>
        <c:barDir val="bar"/>
        <c:grouping val="clustered"/>
        <c:varyColors val="0"/>
        <c:ser>
          <c:idx val="0"/>
          <c:order val="0"/>
          <c:tx>
            <c:strRef>
              <c:f>'Pivot Report'!$B$42</c:f>
              <c:strCache>
                <c:ptCount val="1"/>
                <c:pt idx="0">
                  <c:v>Count of Patient Admission Status</c:v>
                </c:pt>
              </c:strCache>
            </c:strRef>
          </c:tx>
          <c:spPr>
            <a:solidFill>
              <a:schemeClr val="accent1"/>
            </a:solidFill>
            <a:ln>
              <a:noFill/>
            </a:ln>
            <a:effectLst/>
          </c:spPr>
          <c:invertIfNegative val="0"/>
          <c:cat>
            <c:strRef>
              <c:f>'Pivot Report'!$A$43:$A$44</c:f>
              <c:strCache>
                <c:ptCount val="2"/>
                <c:pt idx="0">
                  <c:v>Admitted</c:v>
                </c:pt>
                <c:pt idx="1">
                  <c:v>Not Admitted</c:v>
                </c:pt>
              </c:strCache>
            </c:strRef>
          </c:cat>
          <c:val>
            <c:numRef>
              <c:f>'Pivot Report'!$B$43:$B$44</c:f>
              <c:numCache>
                <c:formatCode>0</c:formatCode>
                <c:ptCount val="2"/>
                <c:pt idx="0">
                  <c:v>269</c:v>
                </c:pt>
                <c:pt idx="1">
                  <c:v>244</c:v>
                </c:pt>
              </c:numCache>
            </c:numRef>
          </c:val>
          <c:extLst>
            <c:ext xmlns:c16="http://schemas.microsoft.com/office/drawing/2014/chart" uri="{C3380CC4-5D6E-409C-BE32-E72D297353CC}">
              <c16:uniqueId val="{00000019-22CD-4F08-B59C-96E858FB87BC}"/>
            </c:ext>
          </c:extLst>
        </c:ser>
        <c:ser>
          <c:idx val="1"/>
          <c:order val="1"/>
          <c:tx>
            <c:strRef>
              <c:f>'Pivot Report'!$C$42</c:f>
              <c:strCache>
                <c:ptCount val="1"/>
                <c:pt idx="0">
                  <c:v>Count of Patient Admission Status2</c:v>
                </c:pt>
              </c:strCache>
            </c:strRef>
          </c:tx>
          <c:spPr>
            <a:solidFill>
              <a:schemeClr val="accent2"/>
            </a:solidFill>
            <a:ln>
              <a:noFill/>
            </a:ln>
            <a:effectLst/>
          </c:spPr>
          <c:invertIfNegative val="0"/>
          <c:cat>
            <c:strRef>
              <c:f>'Pivot Report'!$A$43:$A$44</c:f>
              <c:strCache>
                <c:ptCount val="2"/>
                <c:pt idx="0">
                  <c:v>Admitted</c:v>
                </c:pt>
                <c:pt idx="1">
                  <c:v>Not Admitted</c:v>
                </c:pt>
              </c:strCache>
            </c:strRef>
          </c:cat>
          <c:val>
            <c:numRef>
              <c:f>'Pivot Report'!$C$43:$C$44</c:f>
              <c:numCache>
                <c:formatCode>0.00%</c:formatCode>
                <c:ptCount val="2"/>
                <c:pt idx="0">
                  <c:v>0.52436647173489281</c:v>
                </c:pt>
                <c:pt idx="1">
                  <c:v>0.47563352826510719</c:v>
                </c:pt>
              </c:numCache>
            </c:numRef>
          </c:val>
          <c:extLst>
            <c:ext xmlns:c16="http://schemas.microsoft.com/office/drawing/2014/chart" uri="{C3380CC4-5D6E-409C-BE32-E72D297353CC}">
              <c16:uniqueId val="{0000001A-22CD-4F08-B59C-96E858FB87BC}"/>
            </c:ext>
          </c:extLst>
        </c:ser>
        <c:dLbls>
          <c:showLegendKey val="0"/>
          <c:showVal val="0"/>
          <c:showCatName val="0"/>
          <c:showSerName val="0"/>
          <c:showPercent val="0"/>
          <c:showBubbleSize val="0"/>
        </c:dLbls>
        <c:gapWidth val="60"/>
        <c:overlap val="100"/>
        <c:axId val="601888928"/>
        <c:axId val="601888448"/>
      </c:barChart>
      <c:catAx>
        <c:axId val="601888928"/>
        <c:scaling>
          <c:orientation val="minMax"/>
        </c:scaling>
        <c:delete val="1"/>
        <c:axPos val="l"/>
        <c:numFmt formatCode="General" sourceLinked="1"/>
        <c:majorTickMark val="none"/>
        <c:minorTickMark val="none"/>
        <c:tickLblPos val="nextTo"/>
        <c:crossAx val="601888448"/>
        <c:crosses val="autoZero"/>
        <c:auto val="1"/>
        <c:lblAlgn val="ctr"/>
        <c:lblOffset val="100"/>
        <c:noMultiLvlLbl val="0"/>
      </c:catAx>
      <c:valAx>
        <c:axId val="601888448"/>
        <c:scaling>
          <c:orientation val="minMax"/>
        </c:scaling>
        <c:delete val="1"/>
        <c:axPos val="b"/>
        <c:numFmt formatCode="0" sourceLinked="1"/>
        <c:majorTickMark val="none"/>
        <c:minorTickMark val="none"/>
        <c:tickLblPos val="nextTo"/>
        <c:crossAx val="601888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Report!PivotTable10</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1.86219739292365E-2"/>
          <c:w val="1"/>
          <c:h val="0.98137802607076352"/>
        </c:manualLayout>
      </c:layout>
      <c:areaChart>
        <c:grouping val="standard"/>
        <c:varyColors val="0"/>
        <c:ser>
          <c:idx val="0"/>
          <c:order val="0"/>
          <c:tx>
            <c:strRef>
              <c:f>'Pivot Report'!$H$4</c:f>
              <c:strCache>
                <c:ptCount val="1"/>
                <c:pt idx="0">
                  <c:v>Total</c:v>
                </c:pt>
              </c:strCache>
            </c:strRef>
          </c:tx>
          <c:spPr>
            <a:solidFill>
              <a:schemeClr val="accent1"/>
            </a:solidFill>
            <a:ln w="25400">
              <a:noFill/>
            </a:ln>
            <a:effectLst/>
          </c:spPr>
          <c:cat>
            <c:strRef>
              <c:f>'Pivot Report'!$G$5:$G$36</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Report'!$H$5:$H$36</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C-146A-4F2C-9B7B-8C14D7A926DF}"/>
            </c:ext>
          </c:extLst>
        </c:ser>
        <c:dLbls>
          <c:showLegendKey val="0"/>
          <c:showVal val="0"/>
          <c:showCatName val="0"/>
          <c:showSerName val="0"/>
          <c:showPercent val="0"/>
          <c:showBubbleSize val="0"/>
        </c:dLbls>
        <c:axId val="19912160"/>
        <c:axId val="19914560"/>
      </c:areaChart>
      <c:catAx>
        <c:axId val="19912160"/>
        <c:scaling>
          <c:orientation val="minMax"/>
        </c:scaling>
        <c:delete val="1"/>
        <c:axPos val="b"/>
        <c:numFmt formatCode="General" sourceLinked="1"/>
        <c:majorTickMark val="out"/>
        <c:minorTickMark val="none"/>
        <c:tickLblPos val="nextTo"/>
        <c:crossAx val="19914560"/>
        <c:crosses val="autoZero"/>
        <c:auto val="1"/>
        <c:lblAlgn val="ctr"/>
        <c:lblOffset val="100"/>
        <c:noMultiLvlLbl val="0"/>
      </c:catAx>
      <c:valAx>
        <c:axId val="19914560"/>
        <c:scaling>
          <c:orientation val="minMax"/>
        </c:scaling>
        <c:delete val="1"/>
        <c:axPos val="l"/>
        <c:numFmt formatCode="General" sourceLinked="1"/>
        <c:majorTickMark val="none"/>
        <c:minorTickMark val="none"/>
        <c:tickLblPos val="nextTo"/>
        <c:crossAx val="19912160"/>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Report!PivotTable11</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5.7273768613974796E-3"/>
          <c:w val="1"/>
          <c:h val="0.99427262313860254"/>
        </c:manualLayout>
      </c:layout>
      <c:areaChart>
        <c:grouping val="standard"/>
        <c:varyColors val="0"/>
        <c:ser>
          <c:idx val="0"/>
          <c:order val="0"/>
          <c:tx>
            <c:strRef>
              <c:f>'Pivot Report'!$L$4</c:f>
              <c:strCache>
                <c:ptCount val="1"/>
                <c:pt idx="0">
                  <c:v>Total</c:v>
                </c:pt>
              </c:strCache>
            </c:strRef>
          </c:tx>
          <c:spPr>
            <a:solidFill>
              <a:schemeClr val="accent1"/>
            </a:solidFill>
            <a:ln w="25400">
              <a:noFill/>
            </a:ln>
            <a:effectLst/>
          </c:spPr>
          <c:cat>
            <c:strRef>
              <c:f>'Pivot Report'!$K$5:$K$36</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Report'!$L$5:$L$36</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C-571B-4162-92A1-F698B444ACA5}"/>
            </c:ext>
          </c:extLst>
        </c:ser>
        <c:dLbls>
          <c:showLegendKey val="0"/>
          <c:showVal val="0"/>
          <c:showCatName val="0"/>
          <c:showSerName val="0"/>
          <c:showPercent val="0"/>
          <c:showBubbleSize val="0"/>
        </c:dLbls>
        <c:axId val="1408808063"/>
        <c:axId val="1408808543"/>
      </c:areaChart>
      <c:catAx>
        <c:axId val="1408808063"/>
        <c:scaling>
          <c:orientation val="minMax"/>
        </c:scaling>
        <c:delete val="1"/>
        <c:axPos val="b"/>
        <c:numFmt formatCode="General" sourceLinked="1"/>
        <c:majorTickMark val="out"/>
        <c:minorTickMark val="none"/>
        <c:tickLblPos val="nextTo"/>
        <c:crossAx val="1408808543"/>
        <c:crosses val="autoZero"/>
        <c:auto val="1"/>
        <c:lblAlgn val="ctr"/>
        <c:lblOffset val="100"/>
        <c:noMultiLvlLbl val="0"/>
      </c:catAx>
      <c:valAx>
        <c:axId val="1408808543"/>
        <c:scaling>
          <c:orientation val="minMax"/>
        </c:scaling>
        <c:delete val="1"/>
        <c:axPos val="l"/>
        <c:numFmt formatCode="0.00" sourceLinked="1"/>
        <c:majorTickMark val="none"/>
        <c:minorTickMark val="none"/>
        <c:tickLblPos val="nextTo"/>
        <c:crossAx val="14088080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Report!PivotTable12</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068783068783067E-3"/>
          <c:y val="6.7476383265856954E-3"/>
          <c:w val="0.99669312169312174"/>
          <c:h val="0.99325236167341413"/>
        </c:manualLayout>
      </c:layout>
      <c:areaChart>
        <c:grouping val="standard"/>
        <c:varyColors val="0"/>
        <c:ser>
          <c:idx val="0"/>
          <c:order val="0"/>
          <c:tx>
            <c:strRef>
              <c:f>'Pivot Report'!$P$4</c:f>
              <c:strCache>
                <c:ptCount val="1"/>
                <c:pt idx="0">
                  <c:v>Total</c:v>
                </c:pt>
              </c:strCache>
            </c:strRef>
          </c:tx>
          <c:spPr>
            <a:solidFill>
              <a:schemeClr val="accent1"/>
            </a:solidFill>
            <a:ln w="25400">
              <a:noFill/>
            </a:ln>
            <a:effectLst/>
          </c:spPr>
          <c:cat>
            <c:strRef>
              <c:f>'Pivot Report'!$O$5:$O$36</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Report'!$P$5:$P$36</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C-B5DF-4B2B-B648-DBA2FBB4AE7B}"/>
            </c:ext>
          </c:extLst>
        </c:ser>
        <c:dLbls>
          <c:showLegendKey val="0"/>
          <c:showVal val="0"/>
          <c:showCatName val="0"/>
          <c:showSerName val="0"/>
          <c:showPercent val="0"/>
          <c:showBubbleSize val="0"/>
        </c:dLbls>
        <c:axId val="606508448"/>
        <c:axId val="606506528"/>
      </c:areaChart>
      <c:catAx>
        <c:axId val="606508448"/>
        <c:scaling>
          <c:orientation val="minMax"/>
        </c:scaling>
        <c:delete val="1"/>
        <c:axPos val="b"/>
        <c:numFmt formatCode="General" sourceLinked="1"/>
        <c:majorTickMark val="out"/>
        <c:minorTickMark val="none"/>
        <c:tickLblPos val="nextTo"/>
        <c:crossAx val="606506528"/>
        <c:crosses val="autoZero"/>
        <c:auto val="1"/>
        <c:lblAlgn val="ctr"/>
        <c:lblOffset val="100"/>
        <c:noMultiLvlLbl val="0"/>
      </c:catAx>
      <c:valAx>
        <c:axId val="606506528"/>
        <c:scaling>
          <c:orientation val="minMax"/>
        </c:scaling>
        <c:delete val="1"/>
        <c:axPos val="l"/>
        <c:numFmt formatCode="0.00" sourceLinked="1"/>
        <c:majorTickMark val="none"/>
        <c:minorTickMark val="none"/>
        <c:tickLblPos val="nextTo"/>
        <c:crossAx val="60650844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Report!PivotTable15</c:name>
    <c:fmtId val="1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0501673817718891"/>
          <c:y val="0.15321922125325732"/>
          <c:w val="0.59947663727662781"/>
          <c:h val="0.71765303530607061"/>
        </c:manualLayout>
      </c:layout>
      <c:pieChart>
        <c:varyColors val="1"/>
        <c:ser>
          <c:idx val="0"/>
          <c:order val="0"/>
          <c:tx>
            <c:strRef>
              <c:f>'Pivot Report'!$B$71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169-4672-AEB0-78EC15D1DC1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169-4672-AEB0-78EC15D1DC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Report'!$A$72:$A$73</c:f>
              <c:strCache>
                <c:ptCount val="2"/>
                <c:pt idx="0">
                  <c:v>Delay</c:v>
                </c:pt>
                <c:pt idx="1">
                  <c:v>Ontime</c:v>
                </c:pt>
              </c:strCache>
            </c:strRef>
          </c:cat>
          <c:val>
            <c:numRef>
              <c:f>'Pivot Report'!$B$72:$B$73</c:f>
              <c:numCache>
                <c:formatCode>0</c:formatCode>
                <c:ptCount val="2"/>
                <c:pt idx="0">
                  <c:v>316</c:v>
                </c:pt>
                <c:pt idx="1">
                  <c:v>197</c:v>
                </c:pt>
              </c:numCache>
            </c:numRef>
          </c:val>
          <c:extLst>
            <c:ext xmlns:c16="http://schemas.microsoft.com/office/drawing/2014/chart" uri="{C3380CC4-5D6E-409C-BE32-E72D297353CC}">
              <c16:uniqueId val="{00000010-8633-4603-8BBD-E1B24B9370A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5064974676330598"/>
          <c:y val="6.2529229300882852E-3"/>
          <c:w val="0.65658368302764558"/>
          <c:h val="0.1562510936132983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81720430107527E-2"/>
          <c:y val="7.7719317343396585E-2"/>
          <c:w val="0.94623655913978499"/>
          <c:h val="0.76827412702444453"/>
        </c:manualLayout>
      </c:layout>
      <c:barChart>
        <c:barDir val="col"/>
        <c:grouping val="clustered"/>
        <c:varyColors val="0"/>
        <c:ser>
          <c:idx val="0"/>
          <c:order val="0"/>
          <c:tx>
            <c:strRef>
              <c:f>'Pivot Report'!$B$57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Report'!$A$58:$A$66</c:f>
              <c:strCache>
                <c:ptCount val="8"/>
                <c:pt idx="0">
                  <c:v>0-9</c:v>
                </c:pt>
                <c:pt idx="1">
                  <c:v>10-19</c:v>
                </c:pt>
                <c:pt idx="2">
                  <c:v>20-29</c:v>
                </c:pt>
                <c:pt idx="3">
                  <c:v>30-39</c:v>
                </c:pt>
                <c:pt idx="4">
                  <c:v>40-49</c:v>
                </c:pt>
                <c:pt idx="5">
                  <c:v>50-59</c:v>
                </c:pt>
                <c:pt idx="6">
                  <c:v>60-69</c:v>
                </c:pt>
                <c:pt idx="7">
                  <c:v>70-79</c:v>
                </c:pt>
              </c:strCache>
            </c:strRef>
          </c:cat>
          <c:val>
            <c:numRef>
              <c:f>'Pivot Report'!$B$58:$B$66</c:f>
              <c:numCache>
                <c:formatCode>0</c:formatCode>
                <c:ptCount val="8"/>
                <c:pt idx="0">
                  <c:v>76</c:v>
                </c:pt>
                <c:pt idx="1">
                  <c:v>69</c:v>
                </c:pt>
                <c:pt idx="2">
                  <c:v>64</c:v>
                </c:pt>
                <c:pt idx="3">
                  <c:v>59</c:v>
                </c:pt>
                <c:pt idx="4">
                  <c:v>58</c:v>
                </c:pt>
                <c:pt idx="5">
                  <c:v>66</c:v>
                </c:pt>
                <c:pt idx="6">
                  <c:v>67</c:v>
                </c:pt>
                <c:pt idx="7">
                  <c:v>54</c:v>
                </c:pt>
              </c:numCache>
            </c:numRef>
          </c:val>
          <c:extLst>
            <c:ext xmlns:c16="http://schemas.microsoft.com/office/drawing/2014/chart" uri="{C3380CC4-5D6E-409C-BE32-E72D297353CC}">
              <c16:uniqueId val="{0000000C-678D-4F8C-8DB0-0823B171622C}"/>
            </c:ext>
          </c:extLst>
        </c:ser>
        <c:dLbls>
          <c:showLegendKey val="0"/>
          <c:showVal val="0"/>
          <c:showCatName val="0"/>
          <c:showSerName val="0"/>
          <c:showPercent val="0"/>
          <c:showBubbleSize val="0"/>
        </c:dLbls>
        <c:gapWidth val="219"/>
        <c:overlap val="-27"/>
        <c:axId val="369426304"/>
        <c:axId val="369426784"/>
      </c:barChart>
      <c:catAx>
        <c:axId val="36942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69426784"/>
        <c:crosses val="autoZero"/>
        <c:auto val="1"/>
        <c:lblAlgn val="ctr"/>
        <c:lblOffset val="100"/>
        <c:noMultiLvlLbl val="0"/>
      </c:catAx>
      <c:valAx>
        <c:axId val="369426784"/>
        <c:scaling>
          <c:orientation val="minMax"/>
        </c:scaling>
        <c:delete val="1"/>
        <c:axPos val="l"/>
        <c:numFmt formatCode="0" sourceLinked="1"/>
        <c:majorTickMark val="none"/>
        <c:minorTickMark val="none"/>
        <c:tickLblPos val="nextTo"/>
        <c:crossAx val="369426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Report!PivotTable16</c:name>
    <c:fmtId val="2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1044214991993929"/>
          <c:y val="0.18444963570425066"/>
          <c:w val="0.61283324254279536"/>
          <c:h val="0.80863473497348104"/>
        </c:manualLayout>
      </c:layout>
      <c:doughnutChart>
        <c:varyColors val="1"/>
        <c:ser>
          <c:idx val="0"/>
          <c:order val="0"/>
          <c:tx>
            <c:strRef>
              <c:f>'Pivot Report'!$B$78</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231-4D18-BA7D-2D1D277C6A1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231-4D18-BA7D-2D1D277C6A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Report'!$A$79:$A$80</c:f>
              <c:strCache>
                <c:ptCount val="2"/>
                <c:pt idx="0">
                  <c:v>Female</c:v>
                </c:pt>
                <c:pt idx="1">
                  <c:v>Male</c:v>
                </c:pt>
              </c:strCache>
            </c:strRef>
          </c:cat>
          <c:val>
            <c:numRef>
              <c:f>'Pivot Report'!$B$79:$B$80</c:f>
              <c:numCache>
                <c:formatCode>0</c:formatCode>
                <c:ptCount val="2"/>
                <c:pt idx="0">
                  <c:v>241</c:v>
                </c:pt>
                <c:pt idx="1">
                  <c:v>272</c:v>
                </c:pt>
              </c:numCache>
            </c:numRef>
          </c:val>
          <c:extLst>
            <c:ext xmlns:c16="http://schemas.microsoft.com/office/drawing/2014/chart" uri="{C3380CC4-5D6E-409C-BE32-E72D297353CC}">
              <c16:uniqueId val="{00000010-AE7C-48F4-9A66-A0A9A06BC4E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21603938658611069"/>
          <c:y val="2.1440084512257544E-2"/>
          <c:w val="0.5508353606961921"/>
          <c:h val="0.1562510936132983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Report!PivotTable17</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Report'!$B$86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Report'!$A$87:$A$94</c:f>
              <c:strCache>
                <c:ptCount val="8"/>
                <c:pt idx="0">
                  <c:v>Gastroenterology</c:v>
                </c:pt>
                <c:pt idx="1">
                  <c:v>Renal</c:v>
                </c:pt>
                <c:pt idx="2">
                  <c:v>Neurology</c:v>
                </c:pt>
                <c:pt idx="3">
                  <c:v>Physiotherapy</c:v>
                </c:pt>
                <c:pt idx="4">
                  <c:v>Cardiology</c:v>
                </c:pt>
                <c:pt idx="5">
                  <c:v>Orthopedics</c:v>
                </c:pt>
                <c:pt idx="6">
                  <c:v>General Practice</c:v>
                </c:pt>
                <c:pt idx="7">
                  <c:v>None</c:v>
                </c:pt>
              </c:strCache>
            </c:strRef>
          </c:cat>
          <c:val>
            <c:numRef>
              <c:f>'Pivot Report'!$B$87:$B$94</c:f>
              <c:numCache>
                <c:formatCode>0</c:formatCode>
                <c:ptCount val="8"/>
                <c:pt idx="0">
                  <c:v>4</c:v>
                </c:pt>
                <c:pt idx="1">
                  <c:v>5</c:v>
                </c:pt>
                <c:pt idx="2">
                  <c:v>9</c:v>
                </c:pt>
                <c:pt idx="3">
                  <c:v>14</c:v>
                </c:pt>
                <c:pt idx="4">
                  <c:v>14</c:v>
                </c:pt>
                <c:pt idx="5">
                  <c:v>65</c:v>
                </c:pt>
                <c:pt idx="6">
                  <c:v>103</c:v>
                </c:pt>
                <c:pt idx="7">
                  <c:v>299</c:v>
                </c:pt>
              </c:numCache>
            </c:numRef>
          </c:val>
          <c:extLst>
            <c:ext xmlns:c16="http://schemas.microsoft.com/office/drawing/2014/chart" uri="{C3380CC4-5D6E-409C-BE32-E72D297353CC}">
              <c16:uniqueId val="{0000000C-79FD-4794-8437-B4B5CA55A374}"/>
            </c:ext>
          </c:extLst>
        </c:ser>
        <c:dLbls>
          <c:showLegendKey val="0"/>
          <c:showVal val="0"/>
          <c:showCatName val="0"/>
          <c:showSerName val="0"/>
          <c:showPercent val="0"/>
          <c:showBubbleSize val="0"/>
        </c:dLbls>
        <c:gapWidth val="35"/>
        <c:axId val="649691040"/>
        <c:axId val="649685760"/>
      </c:barChart>
      <c:catAx>
        <c:axId val="649691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49685760"/>
        <c:crosses val="autoZero"/>
        <c:auto val="1"/>
        <c:lblAlgn val="ctr"/>
        <c:lblOffset val="100"/>
        <c:noMultiLvlLbl val="0"/>
      </c:catAx>
      <c:valAx>
        <c:axId val="649685760"/>
        <c:scaling>
          <c:orientation val="minMax"/>
        </c:scaling>
        <c:delete val="1"/>
        <c:axPos val="b"/>
        <c:numFmt formatCode="0" sourceLinked="1"/>
        <c:majorTickMark val="none"/>
        <c:minorTickMark val="none"/>
        <c:tickLblPos val="nextTo"/>
        <c:crossAx val="649691040"/>
        <c:crosses val="autoZero"/>
        <c:crossBetween val="between"/>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Report!PivotTable10</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5.4205971778280189E-3"/>
          <c:w val="1"/>
          <c:h val="0.99457940282217194"/>
        </c:manualLayout>
      </c:layout>
      <c:areaChart>
        <c:grouping val="standard"/>
        <c:varyColors val="0"/>
        <c:ser>
          <c:idx val="0"/>
          <c:order val="0"/>
          <c:tx>
            <c:strRef>
              <c:f>'Pivot Report'!$H$4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Report'!$G$5:$G$36</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Report'!$H$5:$H$36</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D-25CC-4344-BCEF-D0B1963993B8}"/>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912160"/>
        <c:axId val="19914560"/>
      </c:areaChart>
      <c:catAx>
        <c:axId val="19912160"/>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914560"/>
        <c:crosses val="autoZero"/>
        <c:auto val="1"/>
        <c:lblAlgn val="ctr"/>
        <c:lblOffset val="100"/>
        <c:noMultiLvlLbl val="0"/>
      </c:catAx>
      <c:valAx>
        <c:axId val="19914560"/>
        <c:scaling>
          <c:orientation val="minMax"/>
        </c:scaling>
        <c:delete val="1"/>
        <c:axPos val="l"/>
        <c:numFmt formatCode="General" sourceLinked="1"/>
        <c:majorTickMark val="out"/>
        <c:minorTickMark val="none"/>
        <c:tickLblPos val="nextTo"/>
        <c:crossAx val="1991216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Report!PivotTable11</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34844508072854E-2"/>
          <c:y val="0"/>
          <c:w val="1"/>
          <c:h val="0.99427262313860254"/>
        </c:manualLayout>
      </c:layout>
      <c:areaChart>
        <c:grouping val="standard"/>
        <c:varyColors val="0"/>
        <c:ser>
          <c:idx val="0"/>
          <c:order val="0"/>
          <c:tx>
            <c:strRef>
              <c:f>'Pivot Report'!$L$4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Report'!$K$5:$K$36</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Report'!$L$5:$L$36</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C-7CE1-43DC-9318-7460B88920D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408808063"/>
        <c:axId val="1408808543"/>
      </c:areaChart>
      <c:catAx>
        <c:axId val="140880806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08808543"/>
        <c:crosses val="autoZero"/>
        <c:auto val="1"/>
        <c:lblAlgn val="ctr"/>
        <c:lblOffset val="100"/>
        <c:noMultiLvlLbl val="0"/>
      </c:catAx>
      <c:valAx>
        <c:axId val="1408808543"/>
        <c:scaling>
          <c:orientation val="minMax"/>
        </c:scaling>
        <c:delete val="1"/>
        <c:axPos val="l"/>
        <c:numFmt formatCode="0.00" sourceLinked="1"/>
        <c:majorTickMark val="out"/>
        <c:minorTickMark val="none"/>
        <c:tickLblPos val="nextTo"/>
        <c:crossAx val="14088080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[Hospital_Emergency_Room_Dashboard.xlsm]Pivot Report!PivotTable12</c:name>
    <c:fmtId val="2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068783068783067E-3"/>
          <c:y val="6.7476383265856954E-3"/>
          <c:w val="0.99669312169312174"/>
          <c:h val="0.99325236167341413"/>
        </c:manualLayout>
      </c:layout>
      <c:areaChart>
        <c:grouping val="standard"/>
        <c:varyColors val="0"/>
        <c:ser>
          <c:idx val="0"/>
          <c:order val="0"/>
          <c:tx>
            <c:strRef>
              <c:f>'Pivot Report'!$P$4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Report'!$O$5:$O$36</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Report'!$P$5:$P$36</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C-62DE-4354-A960-62310BAA8D4A}"/>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06508448"/>
        <c:axId val="606506528"/>
      </c:areaChart>
      <c:catAx>
        <c:axId val="60650844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06506528"/>
        <c:crosses val="autoZero"/>
        <c:auto val="1"/>
        <c:lblAlgn val="ctr"/>
        <c:lblOffset val="100"/>
        <c:noMultiLvlLbl val="0"/>
      </c:catAx>
      <c:valAx>
        <c:axId val="606506528"/>
        <c:scaling>
          <c:orientation val="minMax"/>
        </c:scaling>
        <c:delete val="1"/>
        <c:axPos val="l"/>
        <c:numFmt formatCode="0.00" sourceLinked="1"/>
        <c:majorTickMark val="out"/>
        <c:minorTickMark val="none"/>
        <c:tickLblPos val="nextTo"/>
        <c:crossAx val="60650844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No. of Patients visit daily'!A1"/><Relationship Id="rId13" Type="http://schemas.openxmlformats.org/officeDocument/2006/relationships/chart" Target="../charts/chart4.xml"/><Relationship Id="rId18" Type="http://schemas.openxmlformats.org/officeDocument/2006/relationships/chart" Target="../charts/chart8.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Avg. Patient Satisfaction Score'!A1"/><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image" Target="../media/image8.emf"/><Relationship Id="rId10" Type="http://schemas.openxmlformats.org/officeDocument/2006/relationships/hyperlink" Target="#'Avg. Patient Wait Time daily'!A1"/><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236220</xdr:colOff>
      <xdr:row>49</xdr:row>
      <xdr:rowOff>22860</xdr:rowOff>
    </xdr:from>
    <xdr:to>
      <xdr:col>4</xdr:col>
      <xdr:colOff>129540</xdr:colOff>
      <xdr:row>50</xdr:row>
      <xdr:rowOff>175260</xdr:rowOff>
    </xdr:to>
    <xdr:graphicFrame macro="">
      <xdr:nvGraphicFramePr>
        <xdr:cNvPr id="17" name="Chart 16">
          <a:extLst>
            <a:ext uri="{FF2B5EF4-FFF2-40B4-BE49-F238E27FC236}">
              <a16:creationId xmlns:a16="http://schemas.microsoft.com/office/drawing/2014/main" id="{6338D185-D9B2-B14C-3D19-F8B31283CE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0</xdr:row>
      <xdr:rowOff>76200</xdr:rowOff>
    </xdr:from>
    <xdr:to>
      <xdr:col>7</xdr:col>
      <xdr:colOff>419100</xdr:colOff>
      <xdr:row>4</xdr:row>
      <xdr:rowOff>137160</xdr:rowOff>
    </xdr:to>
    <xdr:sp macro="" textlink="">
      <xdr:nvSpPr>
        <xdr:cNvPr id="2" name="Rectangle: Rounded Corners 1">
          <a:extLst>
            <a:ext uri="{FF2B5EF4-FFF2-40B4-BE49-F238E27FC236}">
              <a16:creationId xmlns:a16="http://schemas.microsoft.com/office/drawing/2014/main" id="{705C0ED5-01B5-12E2-487A-811A5365A4DD}"/>
            </a:ext>
          </a:extLst>
        </xdr:cNvPr>
        <xdr:cNvSpPr/>
      </xdr:nvSpPr>
      <xdr:spPr>
        <a:xfrm>
          <a:off x="91440" y="76200"/>
          <a:ext cx="4594860" cy="792480"/>
        </a:xfrm>
        <a:prstGeom prst="roundRect">
          <a:avLst>
            <a:gd name="adj" fmla="val 608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502920</xdr:colOff>
      <xdr:row>0</xdr:row>
      <xdr:rowOff>83820</xdr:rowOff>
    </xdr:from>
    <xdr:to>
      <xdr:col>10</xdr:col>
      <xdr:colOff>487680</xdr:colOff>
      <xdr:row>4</xdr:row>
      <xdr:rowOff>137160</xdr:rowOff>
    </xdr:to>
    <xdr:sp macro="" textlink="">
      <xdr:nvSpPr>
        <xdr:cNvPr id="5" name="Rectangle: Rounded Corners 4">
          <a:extLst>
            <a:ext uri="{FF2B5EF4-FFF2-40B4-BE49-F238E27FC236}">
              <a16:creationId xmlns:a16="http://schemas.microsoft.com/office/drawing/2014/main" id="{5B29A57B-839A-2EDD-A302-B035559D2235}"/>
            </a:ext>
          </a:extLst>
        </xdr:cNvPr>
        <xdr:cNvSpPr/>
      </xdr:nvSpPr>
      <xdr:spPr>
        <a:xfrm>
          <a:off x="4770120" y="83820"/>
          <a:ext cx="1813560" cy="784860"/>
        </a:xfrm>
        <a:prstGeom prst="roundRect">
          <a:avLst>
            <a:gd name="adj" fmla="val 506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579120</xdr:colOff>
      <xdr:row>0</xdr:row>
      <xdr:rowOff>76200</xdr:rowOff>
    </xdr:from>
    <xdr:to>
      <xdr:col>15</xdr:col>
      <xdr:colOff>53340</xdr:colOff>
      <xdr:row>12</xdr:row>
      <xdr:rowOff>22860</xdr:rowOff>
    </xdr:to>
    <xdr:sp macro="" textlink="">
      <xdr:nvSpPr>
        <xdr:cNvPr id="6" name="Rectangle: Rounded Corners 5">
          <a:extLst>
            <a:ext uri="{FF2B5EF4-FFF2-40B4-BE49-F238E27FC236}">
              <a16:creationId xmlns:a16="http://schemas.microsoft.com/office/drawing/2014/main" id="{636200EF-BD74-4D3B-B386-2727874ABD38}"/>
            </a:ext>
          </a:extLst>
        </xdr:cNvPr>
        <xdr:cNvSpPr/>
      </xdr:nvSpPr>
      <xdr:spPr>
        <a:xfrm>
          <a:off x="6675120" y="76200"/>
          <a:ext cx="2522220" cy="2141220"/>
        </a:xfrm>
        <a:prstGeom prst="roundRect">
          <a:avLst>
            <a:gd name="adj" fmla="val 296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83820</xdr:colOff>
      <xdr:row>5</xdr:row>
      <xdr:rowOff>30480</xdr:rowOff>
    </xdr:from>
    <xdr:to>
      <xdr:col>2</xdr:col>
      <xdr:colOff>91440</xdr:colOff>
      <xdr:row>27</xdr:row>
      <xdr:rowOff>15240</xdr:rowOff>
    </xdr:to>
    <xdr:sp macro="" textlink="">
      <xdr:nvSpPr>
        <xdr:cNvPr id="8" name="Rectangle: Rounded Corners 7">
          <a:extLst>
            <a:ext uri="{FF2B5EF4-FFF2-40B4-BE49-F238E27FC236}">
              <a16:creationId xmlns:a16="http://schemas.microsoft.com/office/drawing/2014/main" id="{2B7E43BD-68F5-82C9-146F-CB5366FC89B8}"/>
            </a:ext>
          </a:extLst>
        </xdr:cNvPr>
        <xdr:cNvSpPr/>
      </xdr:nvSpPr>
      <xdr:spPr>
        <a:xfrm>
          <a:off x="83820" y="944880"/>
          <a:ext cx="1226820" cy="4008120"/>
        </a:xfrm>
        <a:prstGeom prst="roundRect">
          <a:avLst>
            <a:gd name="adj" fmla="val 41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15</xdr:col>
      <xdr:colOff>129540</xdr:colOff>
      <xdr:row>0</xdr:row>
      <xdr:rowOff>76200</xdr:rowOff>
    </xdr:from>
    <xdr:to>
      <xdr:col>19</xdr:col>
      <xdr:colOff>213360</xdr:colOff>
      <xdr:row>12</xdr:row>
      <xdr:rowOff>22860</xdr:rowOff>
    </xdr:to>
    <xdr:sp macro="" textlink="">
      <xdr:nvSpPr>
        <xdr:cNvPr id="14" name="Rectangle: Rounded Corners 13">
          <a:extLst>
            <a:ext uri="{FF2B5EF4-FFF2-40B4-BE49-F238E27FC236}">
              <a16:creationId xmlns:a16="http://schemas.microsoft.com/office/drawing/2014/main" id="{9867D356-E13C-0BE8-4E49-CDBC99D84795}"/>
            </a:ext>
          </a:extLst>
        </xdr:cNvPr>
        <xdr:cNvSpPr/>
      </xdr:nvSpPr>
      <xdr:spPr>
        <a:xfrm>
          <a:off x="9273540" y="76200"/>
          <a:ext cx="2522220" cy="2141220"/>
        </a:xfrm>
        <a:prstGeom prst="roundRect">
          <a:avLst>
            <a:gd name="adj" fmla="val 332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175260</xdr:colOff>
      <xdr:row>15</xdr:row>
      <xdr:rowOff>99060</xdr:rowOff>
    </xdr:from>
    <xdr:to>
      <xdr:col>10</xdr:col>
      <xdr:colOff>487680</xdr:colOff>
      <xdr:row>27</xdr:row>
      <xdr:rowOff>15240</xdr:rowOff>
    </xdr:to>
    <xdr:sp macro="" textlink="">
      <xdr:nvSpPr>
        <xdr:cNvPr id="16" name="Rectangle: Rounded Corners 15">
          <a:extLst>
            <a:ext uri="{FF2B5EF4-FFF2-40B4-BE49-F238E27FC236}">
              <a16:creationId xmlns:a16="http://schemas.microsoft.com/office/drawing/2014/main" id="{526D0AA6-E03C-036B-E004-8C393264DD1C}"/>
            </a:ext>
          </a:extLst>
        </xdr:cNvPr>
        <xdr:cNvSpPr/>
      </xdr:nvSpPr>
      <xdr:spPr>
        <a:xfrm>
          <a:off x="1394460" y="2842260"/>
          <a:ext cx="5189220" cy="2110740"/>
        </a:xfrm>
        <a:prstGeom prst="roundRect">
          <a:avLst>
            <a:gd name="adj" fmla="val 228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579120</xdr:colOff>
      <xdr:row>12</xdr:row>
      <xdr:rowOff>99060</xdr:rowOff>
    </xdr:from>
    <xdr:to>
      <xdr:col>19</xdr:col>
      <xdr:colOff>205740</xdr:colOff>
      <xdr:row>27</xdr:row>
      <xdr:rowOff>15240</xdr:rowOff>
    </xdr:to>
    <xdr:sp macro="" textlink="">
      <xdr:nvSpPr>
        <xdr:cNvPr id="17" name="Rectangle: Rounded Corners 16">
          <a:extLst>
            <a:ext uri="{FF2B5EF4-FFF2-40B4-BE49-F238E27FC236}">
              <a16:creationId xmlns:a16="http://schemas.microsoft.com/office/drawing/2014/main" id="{8E0667F2-F35B-1294-A526-96B0F84DC039}"/>
            </a:ext>
          </a:extLst>
        </xdr:cNvPr>
        <xdr:cNvSpPr/>
      </xdr:nvSpPr>
      <xdr:spPr>
        <a:xfrm>
          <a:off x="6675120" y="2293620"/>
          <a:ext cx="5113020" cy="2659380"/>
        </a:xfrm>
        <a:prstGeom prst="roundRect">
          <a:avLst>
            <a:gd name="adj" fmla="val 176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5</xdr:row>
      <xdr:rowOff>22860</xdr:rowOff>
    </xdr:from>
    <xdr:to>
      <xdr:col>10</xdr:col>
      <xdr:colOff>487681</xdr:colOff>
      <xdr:row>10</xdr:row>
      <xdr:rowOff>106680</xdr:rowOff>
    </xdr:to>
    <xdr:grpSp>
      <xdr:nvGrpSpPr>
        <xdr:cNvPr id="58" name="Group 57">
          <a:extLst>
            <a:ext uri="{FF2B5EF4-FFF2-40B4-BE49-F238E27FC236}">
              <a16:creationId xmlns:a16="http://schemas.microsoft.com/office/drawing/2014/main" id="{2209FAA8-B74B-E4B9-ED38-5C259886E44A}"/>
            </a:ext>
          </a:extLst>
        </xdr:cNvPr>
        <xdr:cNvGrpSpPr/>
      </xdr:nvGrpSpPr>
      <xdr:grpSpPr>
        <a:xfrm>
          <a:off x="1402080" y="937260"/>
          <a:ext cx="5181601" cy="998220"/>
          <a:chOff x="1554480" y="937260"/>
          <a:chExt cx="5029201" cy="998220"/>
        </a:xfrm>
      </xdr:grpSpPr>
      <xdr:sp macro="" textlink="">
        <xdr:nvSpPr>
          <xdr:cNvPr id="9" name="Rectangle: Rounded Corners 8">
            <a:extLst>
              <a:ext uri="{FF2B5EF4-FFF2-40B4-BE49-F238E27FC236}">
                <a16:creationId xmlns:a16="http://schemas.microsoft.com/office/drawing/2014/main" id="{897BC322-A5E5-1C79-C960-102B14E19313}"/>
              </a:ext>
            </a:extLst>
          </xdr:cNvPr>
          <xdr:cNvSpPr/>
        </xdr:nvSpPr>
        <xdr:spPr>
          <a:xfrm>
            <a:off x="1554480" y="937260"/>
            <a:ext cx="1618325" cy="998220"/>
          </a:xfrm>
          <a:prstGeom prst="roundRect">
            <a:avLst>
              <a:gd name="adj" fmla="val 301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sp macro="" textlink="">
        <xdr:nvSpPr>
          <xdr:cNvPr id="28" name="Rectangle: Rounded Corners 27">
            <a:extLst>
              <a:ext uri="{FF2B5EF4-FFF2-40B4-BE49-F238E27FC236}">
                <a16:creationId xmlns:a16="http://schemas.microsoft.com/office/drawing/2014/main" id="{F6B17549-D650-ECAD-9F9B-616CF4B9CAB2}"/>
              </a:ext>
            </a:extLst>
          </xdr:cNvPr>
          <xdr:cNvSpPr/>
        </xdr:nvSpPr>
        <xdr:spPr>
          <a:xfrm>
            <a:off x="3259918" y="937260"/>
            <a:ext cx="1618325" cy="998220"/>
          </a:xfrm>
          <a:prstGeom prst="roundRect">
            <a:avLst>
              <a:gd name="adj" fmla="val 301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sp macro="" textlink="">
        <xdr:nvSpPr>
          <xdr:cNvPr id="29" name="Rectangle: Rounded Corners 28">
            <a:extLst>
              <a:ext uri="{FF2B5EF4-FFF2-40B4-BE49-F238E27FC236}">
                <a16:creationId xmlns:a16="http://schemas.microsoft.com/office/drawing/2014/main" id="{F7922B18-FDB5-7583-E587-A367EF2BE551}"/>
              </a:ext>
            </a:extLst>
          </xdr:cNvPr>
          <xdr:cNvSpPr/>
        </xdr:nvSpPr>
        <xdr:spPr>
          <a:xfrm>
            <a:off x="4965356" y="937260"/>
            <a:ext cx="1618325" cy="998220"/>
          </a:xfrm>
          <a:prstGeom prst="roundRect">
            <a:avLst>
              <a:gd name="adj" fmla="val 301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50"/>
          </a:p>
        </xdr:txBody>
      </xdr:sp>
    </xdr:grpSp>
    <xdr:clientData/>
  </xdr:twoCellAnchor>
  <xdr:twoCellAnchor editAs="absolute">
    <xdr:from>
      <xdr:col>1</xdr:col>
      <xdr:colOff>449580</xdr:colOff>
      <xdr:row>0</xdr:row>
      <xdr:rowOff>175260</xdr:rowOff>
    </xdr:from>
    <xdr:to>
      <xdr:col>7</xdr:col>
      <xdr:colOff>289560</xdr:colOff>
      <xdr:row>2</xdr:row>
      <xdr:rowOff>76200</xdr:rowOff>
    </xdr:to>
    <xdr:sp macro="" textlink="">
      <xdr:nvSpPr>
        <xdr:cNvPr id="31" name="TextBox 30">
          <a:extLst>
            <a:ext uri="{FF2B5EF4-FFF2-40B4-BE49-F238E27FC236}">
              <a16:creationId xmlns:a16="http://schemas.microsoft.com/office/drawing/2014/main" id="{4C818FDA-0B2F-0FC5-E0B7-B276808CD1FB}"/>
            </a:ext>
          </a:extLst>
        </xdr:cNvPr>
        <xdr:cNvSpPr txBox="1"/>
      </xdr:nvSpPr>
      <xdr:spPr>
        <a:xfrm>
          <a:off x="1059180" y="175260"/>
          <a:ext cx="34975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600" b="1"/>
            <a:t>Hospital Emergency</a:t>
          </a:r>
          <a:r>
            <a:rPr lang="en-IN" sz="1600" b="1" baseline="0"/>
            <a:t> Room Dashboard</a:t>
          </a:r>
          <a:endParaRPr lang="en-IN" sz="1600" b="1"/>
        </a:p>
      </xdr:txBody>
    </xdr:sp>
    <xdr:clientData/>
  </xdr:twoCellAnchor>
  <xdr:twoCellAnchor editAs="oneCell">
    <xdr:from>
      <xdr:col>0</xdr:col>
      <xdr:colOff>129540</xdr:colOff>
      <xdr:row>0</xdr:row>
      <xdr:rowOff>121920</xdr:rowOff>
    </xdr:from>
    <xdr:to>
      <xdr:col>1</xdr:col>
      <xdr:colOff>480060</xdr:colOff>
      <xdr:row>4</xdr:row>
      <xdr:rowOff>99060</xdr:rowOff>
    </xdr:to>
    <xdr:pic>
      <xdr:nvPicPr>
        <xdr:cNvPr id="33" name="Picture 32">
          <a:extLst>
            <a:ext uri="{FF2B5EF4-FFF2-40B4-BE49-F238E27FC236}">
              <a16:creationId xmlns:a16="http://schemas.microsoft.com/office/drawing/2014/main" id="{22AA1C00-891D-ED39-9432-B1DCB383761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6394" t="5771" r="14755" b="4807"/>
        <a:stretch/>
      </xdr:blipFill>
      <xdr:spPr>
        <a:xfrm>
          <a:off x="129540" y="121920"/>
          <a:ext cx="960120" cy="708660"/>
        </a:xfrm>
        <a:prstGeom prst="rect">
          <a:avLst/>
        </a:prstGeom>
      </xdr:spPr>
    </xdr:pic>
    <xdr:clientData/>
  </xdr:twoCellAnchor>
  <xdr:twoCellAnchor editAs="absolute">
    <xdr:from>
      <xdr:col>3</xdr:col>
      <xdr:colOff>99060</xdr:colOff>
      <xdr:row>2</xdr:row>
      <xdr:rowOff>121920</xdr:rowOff>
    </xdr:from>
    <xdr:to>
      <xdr:col>5</xdr:col>
      <xdr:colOff>579120</xdr:colOff>
      <xdr:row>4</xdr:row>
      <xdr:rowOff>22860</xdr:rowOff>
    </xdr:to>
    <xdr:sp macro="" textlink="">
      <xdr:nvSpPr>
        <xdr:cNvPr id="39" name="TextBox 38">
          <a:extLst>
            <a:ext uri="{FF2B5EF4-FFF2-40B4-BE49-F238E27FC236}">
              <a16:creationId xmlns:a16="http://schemas.microsoft.com/office/drawing/2014/main" id="{75943983-3939-A684-7BE6-EDDF7F1B2467}"/>
            </a:ext>
          </a:extLst>
        </xdr:cNvPr>
        <xdr:cNvSpPr txBox="1"/>
      </xdr:nvSpPr>
      <xdr:spPr>
        <a:xfrm>
          <a:off x="1927860" y="487680"/>
          <a:ext cx="16992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Monthly</a:t>
          </a:r>
          <a:r>
            <a:rPr lang="en-IN" sz="1200" b="0" baseline="0"/>
            <a:t> Report</a:t>
          </a:r>
          <a:endParaRPr lang="en-IN" sz="1200" b="0"/>
        </a:p>
      </xdr:txBody>
    </xdr:sp>
    <xdr:clientData/>
  </xdr:twoCellAnchor>
  <xdr:twoCellAnchor>
    <xdr:from>
      <xdr:col>2</xdr:col>
      <xdr:colOff>228600</xdr:colOff>
      <xdr:row>7</xdr:row>
      <xdr:rowOff>22860</xdr:rowOff>
    </xdr:from>
    <xdr:to>
      <xdr:col>5</xdr:col>
      <xdr:colOff>7620</xdr:colOff>
      <xdr:row>8</xdr:row>
      <xdr:rowOff>106680</xdr:rowOff>
    </xdr:to>
    <xdr:sp macro="" textlink="">
      <xdr:nvSpPr>
        <xdr:cNvPr id="40" name="TextBox 39">
          <a:extLst>
            <a:ext uri="{FF2B5EF4-FFF2-40B4-BE49-F238E27FC236}">
              <a16:creationId xmlns:a16="http://schemas.microsoft.com/office/drawing/2014/main" id="{9B8D4427-0BF9-1EB9-9136-CB594DDB45E4}"/>
            </a:ext>
          </a:extLst>
        </xdr:cNvPr>
        <xdr:cNvSpPr txBox="1"/>
      </xdr:nvSpPr>
      <xdr:spPr>
        <a:xfrm>
          <a:off x="1447800" y="1303020"/>
          <a:ext cx="16078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No.</a:t>
          </a:r>
          <a:r>
            <a:rPr lang="en-IN" sz="1200" b="0" baseline="0"/>
            <a:t> of Patients</a:t>
          </a:r>
          <a:endParaRPr lang="en-IN" sz="1200" b="0"/>
        </a:p>
      </xdr:txBody>
    </xdr:sp>
    <xdr:clientData/>
  </xdr:twoCellAnchor>
  <xdr:twoCellAnchor>
    <xdr:from>
      <xdr:col>2</xdr:col>
      <xdr:colOff>266380</xdr:colOff>
      <xdr:row>5</xdr:row>
      <xdr:rowOff>99060</xdr:rowOff>
    </xdr:from>
    <xdr:to>
      <xdr:col>5</xdr:col>
      <xdr:colOff>321</xdr:colOff>
      <xdr:row>7</xdr:row>
      <xdr:rowOff>0</xdr:rowOff>
    </xdr:to>
    <xdr:sp macro="" textlink="'Pivot Report'!A5">
      <xdr:nvSpPr>
        <xdr:cNvPr id="46" name="TextBox 45">
          <a:extLst>
            <a:ext uri="{FF2B5EF4-FFF2-40B4-BE49-F238E27FC236}">
              <a16:creationId xmlns:a16="http://schemas.microsoft.com/office/drawing/2014/main" id="{6D43A9C9-FF69-9AF2-27F0-5E0F94524088}"/>
            </a:ext>
          </a:extLst>
        </xdr:cNvPr>
        <xdr:cNvSpPr txBox="1"/>
      </xdr:nvSpPr>
      <xdr:spPr>
        <a:xfrm>
          <a:off x="1485580" y="1013460"/>
          <a:ext cx="156274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F43E5E-72D4-4574-AC0C-F6B4E3E5AC81}" type="TxLink">
            <a:rPr lang="en-US" sz="1800" b="0" i="0" u="none" strike="noStrike">
              <a:solidFill>
                <a:srgbClr val="000000"/>
              </a:solidFill>
              <a:latin typeface="Calibri"/>
              <a:ea typeface="Calibri"/>
              <a:cs typeface="Calibri"/>
            </a:rPr>
            <a:pPr algn="ctr"/>
            <a:t>513</a:t>
          </a:fld>
          <a:endParaRPr lang="en-IN" sz="2000" b="0"/>
        </a:p>
      </xdr:txBody>
    </xdr:sp>
    <xdr:clientData/>
  </xdr:twoCellAnchor>
  <xdr:twoCellAnchor>
    <xdr:from>
      <xdr:col>4</xdr:col>
      <xdr:colOff>294794</xdr:colOff>
      <xdr:row>5</xdr:row>
      <xdr:rowOff>53340</xdr:rowOff>
    </xdr:from>
    <xdr:to>
      <xdr:col>4</xdr:col>
      <xdr:colOff>580295</xdr:colOff>
      <xdr:row>6</xdr:row>
      <xdr:rowOff>160020</xdr:rowOff>
    </xdr:to>
    <xdr:pic>
      <xdr:nvPicPr>
        <xdr:cNvPr id="52" name="Graphic 51" descr="Male profile with solid fill">
          <a:extLst>
            <a:ext uri="{FF2B5EF4-FFF2-40B4-BE49-F238E27FC236}">
              <a16:creationId xmlns:a16="http://schemas.microsoft.com/office/drawing/2014/main" id="{84981B59-66F4-E463-E963-CAF37AE27F1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733194" y="967740"/>
          <a:ext cx="285501" cy="289560"/>
        </a:xfrm>
        <a:prstGeom prst="rect">
          <a:avLst/>
        </a:prstGeom>
      </xdr:spPr>
    </xdr:pic>
    <xdr:clientData/>
  </xdr:twoCellAnchor>
  <xdr:twoCellAnchor>
    <xdr:from>
      <xdr:col>5</xdr:col>
      <xdr:colOff>144780</xdr:colOff>
      <xdr:row>7</xdr:row>
      <xdr:rowOff>15240</xdr:rowOff>
    </xdr:from>
    <xdr:to>
      <xdr:col>7</xdr:col>
      <xdr:colOff>556260</xdr:colOff>
      <xdr:row>8</xdr:row>
      <xdr:rowOff>99060</xdr:rowOff>
    </xdr:to>
    <xdr:sp macro="" textlink="">
      <xdr:nvSpPr>
        <xdr:cNvPr id="47" name="TextBox 46">
          <a:extLst>
            <a:ext uri="{FF2B5EF4-FFF2-40B4-BE49-F238E27FC236}">
              <a16:creationId xmlns:a16="http://schemas.microsoft.com/office/drawing/2014/main" id="{40F6F0A8-6434-03DC-DBFC-C3F6F6BECC8F}"/>
            </a:ext>
          </a:extLst>
        </xdr:cNvPr>
        <xdr:cNvSpPr txBox="1"/>
      </xdr:nvSpPr>
      <xdr:spPr>
        <a:xfrm>
          <a:off x="3192780" y="1295400"/>
          <a:ext cx="16306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Avg.</a:t>
          </a:r>
          <a:r>
            <a:rPr lang="en-IN" sz="1200" b="0" baseline="0"/>
            <a:t> Wait Time (Min)</a:t>
          </a:r>
          <a:endParaRPr lang="en-IN" sz="1200" b="0"/>
        </a:p>
      </xdr:txBody>
    </xdr:sp>
    <xdr:clientData/>
  </xdr:twoCellAnchor>
  <xdr:twoCellAnchor>
    <xdr:from>
      <xdr:col>5</xdr:col>
      <xdr:colOff>175260</xdr:colOff>
      <xdr:row>5</xdr:row>
      <xdr:rowOff>91440</xdr:rowOff>
    </xdr:from>
    <xdr:to>
      <xdr:col>7</xdr:col>
      <xdr:colOff>541020</xdr:colOff>
      <xdr:row>6</xdr:row>
      <xdr:rowOff>175260</xdr:rowOff>
    </xdr:to>
    <xdr:sp macro="" textlink="'Pivot Report'!A10">
      <xdr:nvSpPr>
        <xdr:cNvPr id="48" name="TextBox 47">
          <a:extLst>
            <a:ext uri="{FF2B5EF4-FFF2-40B4-BE49-F238E27FC236}">
              <a16:creationId xmlns:a16="http://schemas.microsoft.com/office/drawing/2014/main" id="{8D1929F5-67D3-0FA5-DD90-8AAFD30658BB}"/>
            </a:ext>
          </a:extLst>
        </xdr:cNvPr>
        <xdr:cNvSpPr txBox="1"/>
      </xdr:nvSpPr>
      <xdr:spPr>
        <a:xfrm>
          <a:off x="3223260" y="1005840"/>
          <a:ext cx="15849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1CAEB50-D62F-41D8-AC84-5E38A7B6BE9A}" type="TxLink">
            <a:rPr lang="en-US" sz="1800" b="0" i="0" u="none" strike="noStrike">
              <a:solidFill>
                <a:srgbClr val="000000"/>
              </a:solidFill>
              <a:latin typeface="Calibri"/>
              <a:ea typeface="Calibri"/>
              <a:cs typeface="Calibri"/>
            </a:rPr>
            <a:pPr algn="ctr"/>
            <a:t>36.32</a:t>
          </a:fld>
          <a:endParaRPr lang="en-IN" sz="3600" b="0"/>
        </a:p>
      </xdr:txBody>
    </xdr:sp>
    <xdr:clientData/>
  </xdr:twoCellAnchor>
  <xdr:twoCellAnchor>
    <xdr:from>
      <xdr:col>7</xdr:col>
      <xdr:colOff>251460</xdr:colOff>
      <xdr:row>5</xdr:row>
      <xdr:rowOff>68580</xdr:rowOff>
    </xdr:from>
    <xdr:to>
      <xdr:col>7</xdr:col>
      <xdr:colOff>510540</xdr:colOff>
      <xdr:row>6</xdr:row>
      <xdr:rowOff>144780</xdr:rowOff>
    </xdr:to>
    <xdr:pic>
      <xdr:nvPicPr>
        <xdr:cNvPr id="54" name="Graphic 53" descr="Hourglass Finished with solid fill">
          <a:extLst>
            <a:ext uri="{FF2B5EF4-FFF2-40B4-BE49-F238E27FC236}">
              <a16:creationId xmlns:a16="http://schemas.microsoft.com/office/drawing/2014/main" id="{3D5C356F-770E-C634-D20A-BDBFD19CE50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518660" y="982980"/>
          <a:ext cx="259080" cy="259080"/>
        </a:xfrm>
        <a:prstGeom prst="rect">
          <a:avLst/>
        </a:prstGeom>
      </xdr:spPr>
    </xdr:pic>
    <xdr:clientData/>
  </xdr:twoCellAnchor>
  <xdr:twoCellAnchor>
    <xdr:from>
      <xdr:col>8</xdr:col>
      <xdr:colOff>91440</xdr:colOff>
      <xdr:row>7</xdr:row>
      <xdr:rowOff>15240</xdr:rowOff>
    </xdr:from>
    <xdr:to>
      <xdr:col>10</xdr:col>
      <xdr:colOff>449580</xdr:colOff>
      <xdr:row>8</xdr:row>
      <xdr:rowOff>99060</xdr:rowOff>
    </xdr:to>
    <xdr:sp macro="" textlink="">
      <xdr:nvSpPr>
        <xdr:cNvPr id="49" name="TextBox 48">
          <a:extLst>
            <a:ext uri="{FF2B5EF4-FFF2-40B4-BE49-F238E27FC236}">
              <a16:creationId xmlns:a16="http://schemas.microsoft.com/office/drawing/2014/main" id="{B850A64B-E679-2AA5-63B4-63EFAB8D0C37}"/>
            </a:ext>
          </a:extLst>
        </xdr:cNvPr>
        <xdr:cNvSpPr txBox="1"/>
      </xdr:nvSpPr>
      <xdr:spPr>
        <a:xfrm>
          <a:off x="4968240" y="1295400"/>
          <a:ext cx="15773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Patient</a:t>
          </a:r>
          <a:r>
            <a:rPr lang="en-IN" sz="1200" b="0" baseline="0"/>
            <a:t> Satisfaction Score</a:t>
          </a:r>
          <a:endParaRPr lang="en-IN" sz="1200" b="0"/>
        </a:p>
      </xdr:txBody>
    </xdr:sp>
    <xdr:clientData/>
  </xdr:twoCellAnchor>
  <xdr:twoCellAnchor>
    <xdr:from>
      <xdr:col>8</xdr:col>
      <xdr:colOff>44972</xdr:colOff>
      <xdr:row>5</xdr:row>
      <xdr:rowOff>83820</xdr:rowOff>
    </xdr:from>
    <xdr:to>
      <xdr:col>10</xdr:col>
      <xdr:colOff>358888</xdr:colOff>
      <xdr:row>6</xdr:row>
      <xdr:rowOff>167640</xdr:rowOff>
    </xdr:to>
    <xdr:sp macro="" textlink="'Pivot Report'!A15">
      <xdr:nvSpPr>
        <xdr:cNvPr id="50" name="TextBox 49">
          <a:extLst>
            <a:ext uri="{FF2B5EF4-FFF2-40B4-BE49-F238E27FC236}">
              <a16:creationId xmlns:a16="http://schemas.microsoft.com/office/drawing/2014/main" id="{1053E5F3-4C5C-D86B-5861-9B2A1326E498}"/>
            </a:ext>
          </a:extLst>
        </xdr:cNvPr>
        <xdr:cNvSpPr txBox="1"/>
      </xdr:nvSpPr>
      <xdr:spPr>
        <a:xfrm>
          <a:off x="4921772" y="998220"/>
          <a:ext cx="153311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3B207F8-770F-4701-9546-E4F1D3B6AC8D}" type="TxLink">
            <a:rPr lang="en-US" sz="1800" b="0" i="0" u="none" strike="noStrike">
              <a:solidFill>
                <a:srgbClr val="000000"/>
              </a:solidFill>
              <a:latin typeface="Calibri"/>
              <a:ea typeface="Calibri"/>
              <a:cs typeface="Calibri"/>
            </a:rPr>
            <a:pPr algn="ctr"/>
            <a:t>4.96</a:t>
          </a:fld>
          <a:endParaRPr lang="en-IN" sz="3600" b="0"/>
        </a:p>
      </xdr:txBody>
    </xdr:sp>
    <xdr:clientData/>
  </xdr:twoCellAnchor>
  <xdr:twoCellAnchor>
    <xdr:from>
      <xdr:col>10</xdr:col>
      <xdr:colOff>172234</xdr:colOff>
      <xdr:row>5</xdr:row>
      <xdr:rowOff>60960</xdr:rowOff>
    </xdr:from>
    <xdr:to>
      <xdr:col>10</xdr:col>
      <xdr:colOff>415468</xdr:colOff>
      <xdr:row>6</xdr:row>
      <xdr:rowOff>129540</xdr:rowOff>
    </xdr:to>
    <xdr:pic>
      <xdr:nvPicPr>
        <xdr:cNvPr id="56" name="Graphic 55" descr="Star with solid fill">
          <a:extLst>
            <a:ext uri="{FF2B5EF4-FFF2-40B4-BE49-F238E27FC236}">
              <a16:creationId xmlns:a16="http://schemas.microsoft.com/office/drawing/2014/main" id="{73652911-472A-7898-A6F6-96B52B37539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268234" y="975360"/>
          <a:ext cx="243234" cy="251460"/>
        </a:xfrm>
        <a:prstGeom prst="rect">
          <a:avLst/>
        </a:prstGeom>
      </xdr:spPr>
    </xdr:pic>
    <xdr:clientData/>
  </xdr:twoCellAnchor>
  <xdr:twoCellAnchor editAs="oneCell">
    <xdr:from>
      <xdr:col>0</xdr:col>
      <xdr:colOff>182880</xdr:colOff>
      <xdr:row>6</xdr:row>
      <xdr:rowOff>83820</xdr:rowOff>
    </xdr:from>
    <xdr:to>
      <xdr:col>2</xdr:col>
      <xdr:colOff>7620</xdr:colOff>
      <xdr:row>25</xdr:row>
      <xdr:rowOff>182820</xdr:rowOff>
    </xdr:to>
    <mc:AlternateContent xmlns:mc="http://schemas.openxmlformats.org/markup-compatibility/2006" xmlns:a14="http://schemas.microsoft.com/office/drawing/2010/main">
      <mc:Choice Requires="a14">
        <xdr:graphicFrame macro="">
          <xdr:nvGraphicFramePr>
            <xdr:cNvPr id="64" name="Date (Month)">
              <a:extLst>
                <a:ext uri="{FF2B5EF4-FFF2-40B4-BE49-F238E27FC236}">
                  <a16:creationId xmlns:a16="http://schemas.microsoft.com/office/drawing/2014/main" id="{599FF7A6-C5A2-4028-9327-AE1631B07C0A}"/>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82880" y="1181100"/>
              <a:ext cx="1043940" cy="3573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198120</xdr:colOff>
      <xdr:row>7</xdr:row>
      <xdr:rowOff>152400</xdr:rowOff>
    </xdr:from>
    <xdr:to>
      <xdr:col>5</xdr:col>
      <xdr:colOff>7620</xdr:colOff>
      <xdr:row>10</xdr:row>
      <xdr:rowOff>95250</xdr:rowOff>
    </xdr:to>
    <xdr:graphicFrame macro="">
      <xdr:nvGraphicFramePr>
        <xdr:cNvPr id="65" name="Chart 64">
          <a:hlinkClick xmlns:r="http://schemas.openxmlformats.org/officeDocument/2006/relationships" r:id="rId8"/>
          <a:extLst>
            <a:ext uri="{FF2B5EF4-FFF2-40B4-BE49-F238E27FC236}">
              <a16:creationId xmlns:a16="http://schemas.microsoft.com/office/drawing/2014/main" id="{031B40B5-ADB1-4869-8EE2-E659E2BA3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129540</xdr:colOff>
      <xdr:row>9</xdr:row>
      <xdr:rowOff>7620</xdr:rowOff>
    </xdr:from>
    <xdr:to>
      <xdr:col>7</xdr:col>
      <xdr:colOff>541020</xdr:colOff>
      <xdr:row>10</xdr:row>
      <xdr:rowOff>91440</xdr:rowOff>
    </xdr:to>
    <xdr:graphicFrame macro="">
      <xdr:nvGraphicFramePr>
        <xdr:cNvPr id="69" name="Chart 68">
          <a:hlinkClick xmlns:r="http://schemas.openxmlformats.org/officeDocument/2006/relationships" r:id="rId10"/>
          <a:extLst>
            <a:ext uri="{FF2B5EF4-FFF2-40B4-BE49-F238E27FC236}">
              <a16:creationId xmlns:a16="http://schemas.microsoft.com/office/drawing/2014/main" id="{DCC2A56F-CA4D-4675-81B2-1AD4CFB4BF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45720</xdr:colOff>
      <xdr:row>8</xdr:row>
      <xdr:rowOff>45720</xdr:rowOff>
    </xdr:from>
    <xdr:to>
      <xdr:col>10</xdr:col>
      <xdr:colOff>472440</xdr:colOff>
      <xdr:row>10</xdr:row>
      <xdr:rowOff>91440</xdr:rowOff>
    </xdr:to>
    <xdr:graphicFrame macro="">
      <xdr:nvGraphicFramePr>
        <xdr:cNvPr id="71" name="Chart 70">
          <a:hlinkClick xmlns:r="http://schemas.openxmlformats.org/officeDocument/2006/relationships" r:id="rId12"/>
          <a:extLst>
            <a:ext uri="{FF2B5EF4-FFF2-40B4-BE49-F238E27FC236}">
              <a16:creationId xmlns:a16="http://schemas.microsoft.com/office/drawing/2014/main" id="{33EEA99A-0951-41B9-A63A-CF8883DD2B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10</xdr:col>
      <xdr:colOff>586740</xdr:colOff>
      <xdr:row>0</xdr:row>
      <xdr:rowOff>76200</xdr:rowOff>
    </xdr:from>
    <xdr:to>
      <xdr:col>15</xdr:col>
      <xdr:colOff>30480</xdr:colOff>
      <xdr:row>11</xdr:row>
      <xdr:rowOff>175260</xdr:rowOff>
    </xdr:to>
    <xdr:graphicFrame macro="">
      <xdr:nvGraphicFramePr>
        <xdr:cNvPr id="73" name="Chart 72">
          <a:extLst>
            <a:ext uri="{FF2B5EF4-FFF2-40B4-BE49-F238E27FC236}">
              <a16:creationId xmlns:a16="http://schemas.microsoft.com/office/drawing/2014/main" id="{A2CF20F7-E26C-482A-BD00-A9280E4834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243840</xdr:colOff>
      <xdr:row>10</xdr:row>
      <xdr:rowOff>129540</xdr:rowOff>
    </xdr:from>
    <xdr:to>
      <xdr:col>14</xdr:col>
      <xdr:colOff>365760</xdr:colOff>
      <xdr:row>12</xdr:row>
      <xdr:rowOff>30480</xdr:rowOff>
    </xdr:to>
    <xdr:sp macro="" textlink="">
      <xdr:nvSpPr>
        <xdr:cNvPr id="74" name="TextBox 73">
          <a:extLst>
            <a:ext uri="{FF2B5EF4-FFF2-40B4-BE49-F238E27FC236}">
              <a16:creationId xmlns:a16="http://schemas.microsoft.com/office/drawing/2014/main" id="{589CB580-D0C3-E71E-0CFA-3D8ED7BEDBAE}"/>
            </a:ext>
          </a:extLst>
        </xdr:cNvPr>
        <xdr:cNvSpPr txBox="1"/>
      </xdr:nvSpPr>
      <xdr:spPr>
        <a:xfrm>
          <a:off x="6949440" y="1958340"/>
          <a:ext cx="19507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Patients</a:t>
          </a:r>
          <a:r>
            <a:rPr lang="en-IN" sz="1200" b="0" baseline="0"/>
            <a:t> attended within time</a:t>
          </a:r>
          <a:endParaRPr lang="en-IN" sz="1200" b="0"/>
        </a:p>
      </xdr:txBody>
    </xdr:sp>
    <xdr:clientData/>
  </xdr:twoCellAnchor>
  <mc:AlternateContent xmlns:mc="http://schemas.openxmlformats.org/markup-compatibility/2006">
    <mc:Choice xmlns:a14="http://schemas.microsoft.com/office/drawing/2010/main" Requires="a14">
      <xdr:twoCellAnchor editAs="oneCell">
        <xdr:from>
          <xdr:col>2</xdr:col>
          <xdr:colOff>175260</xdr:colOff>
          <xdr:row>10</xdr:row>
          <xdr:rowOff>167640</xdr:rowOff>
        </xdr:from>
        <xdr:to>
          <xdr:col>10</xdr:col>
          <xdr:colOff>495300</xdr:colOff>
          <xdr:row>15</xdr:row>
          <xdr:rowOff>38100</xdr:rowOff>
        </xdr:to>
        <xdr:pic>
          <xdr:nvPicPr>
            <xdr:cNvPr id="76" name="Picture 75">
              <a:extLst>
                <a:ext uri="{FF2B5EF4-FFF2-40B4-BE49-F238E27FC236}">
                  <a16:creationId xmlns:a16="http://schemas.microsoft.com/office/drawing/2014/main" id="{15EB9A6C-EA28-EEA4-3D15-5E5F0822360F}"/>
                </a:ext>
              </a:extLst>
            </xdr:cNvPr>
            <xdr:cNvPicPr>
              <a:picLocks noChangeAspect="1" noChangeArrowheads="1"/>
              <a:extLst>
                <a:ext uri="{84589F7E-364E-4C9E-8A38-B11213B215E9}">
                  <a14:cameraTool cellRange="'Pivot Report'!$A$49:$D$51" spid="_x0000_s2070"/>
                </a:ext>
              </a:extLst>
            </xdr:cNvPicPr>
          </xdr:nvPicPr>
          <xdr:blipFill>
            <a:blip xmlns:r="http://schemas.openxmlformats.org/officeDocument/2006/relationships" r:embed="rId15">
              <a:lum contrast="20000"/>
            </a:blip>
            <a:srcRect/>
            <a:stretch>
              <a:fillRect/>
            </a:stretch>
          </xdr:blipFill>
          <xdr:spPr bwMode="auto">
            <a:xfrm>
              <a:off x="1394460" y="1996440"/>
              <a:ext cx="5196840" cy="784860"/>
            </a:xfrm>
            <a:prstGeom prst="roundRect">
              <a:avLst>
                <a:gd name="adj" fmla="val 7667"/>
              </a:avLst>
            </a:prstGeom>
            <a:ln>
              <a:noFill/>
            </a:ln>
            <a:effectLst/>
            <a:scene3d>
              <a:camera prst="orthographicFront"/>
              <a:lightRig rig="contrasting" dir="t">
                <a:rot lat="0" lon="0" rev="4200000"/>
              </a:lightRig>
            </a:scene3d>
            <a:sp3d prstMaterial="plastic">
              <a:contourClr>
                <a:srgbClr val="969696"/>
              </a:contourClr>
            </a:sp3d>
            <a:extLst>
              <a:ext uri="{909E8E84-426E-40DD-AFC4-6F175D3DCCD1}">
                <a14:hiddenFill>
                  <a:solidFill>
                    <a:srgbClr val="FFFFFF"/>
                  </a:solidFill>
                </a14:hiddenFill>
              </a:ext>
            </a:extLst>
          </xdr:spPr>
        </xdr:pic>
        <xdr:clientData/>
      </xdr:twoCellAnchor>
    </mc:Choice>
    <mc:Fallback/>
  </mc:AlternateContent>
  <xdr:twoCellAnchor>
    <xdr:from>
      <xdr:col>2</xdr:col>
      <xdr:colOff>175260</xdr:colOff>
      <xdr:row>16</xdr:row>
      <xdr:rowOff>38100</xdr:rowOff>
    </xdr:from>
    <xdr:to>
      <xdr:col>10</xdr:col>
      <xdr:colOff>480060</xdr:colOff>
      <xdr:row>25</xdr:row>
      <xdr:rowOff>45720</xdr:rowOff>
    </xdr:to>
    <xdr:graphicFrame macro="">
      <xdr:nvGraphicFramePr>
        <xdr:cNvPr id="77" name="Chart 76">
          <a:extLst>
            <a:ext uri="{FF2B5EF4-FFF2-40B4-BE49-F238E27FC236}">
              <a16:creationId xmlns:a16="http://schemas.microsoft.com/office/drawing/2014/main" id="{106C4250-A968-4CD8-A92A-0BF68BA72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396240</xdr:colOff>
      <xdr:row>25</xdr:row>
      <xdr:rowOff>114300</xdr:rowOff>
    </xdr:from>
    <xdr:to>
      <xdr:col>7</xdr:col>
      <xdr:colOff>518160</xdr:colOff>
      <xdr:row>27</xdr:row>
      <xdr:rowOff>15240</xdr:rowOff>
    </xdr:to>
    <xdr:sp macro="" textlink="">
      <xdr:nvSpPr>
        <xdr:cNvPr id="78" name="TextBox 77">
          <a:extLst>
            <a:ext uri="{FF2B5EF4-FFF2-40B4-BE49-F238E27FC236}">
              <a16:creationId xmlns:a16="http://schemas.microsoft.com/office/drawing/2014/main" id="{49342651-1E8A-B94E-0508-34FD6BA042E1}"/>
            </a:ext>
          </a:extLst>
        </xdr:cNvPr>
        <xdr:cNvSpPr txBox="1"/>
      </xdr:nvSpPr>
      <xdr:spPr>
        <a:xfrm>
          <a:off x="2834640" y="4686300"/>
          <a:ext cx="19507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No.</a:t>
          </a:r>
          <a:r>
            <a:rPr lang="en-IN" sz="1200" b="0" baseline="0"/>
            <a:t> of Patients by Age Group</a:t>
          </a:r>
          <a:endParaRPr lang="en-IN" sz="1200" b="0"/>
        </a:p>
      </xdr:txBody>
    </xdr:sp>
    <xdr:clientData/>
  </xdr:twoCellAnchor>
  <xdr:twoCellAnchor editAs="absolute">
    <xdr:from>
      <xdr:col>15</xdr:col>
      <xdr:colOff>152400</xdr:colOff>
      <xdr:row>0</xdr:row>
      <xdr:rowOff>76200</xdr:rowOff>
    </xdr:from>
    <xdr:to>
      <xdr:col>19</xdr:col>
      <xdr:colOff>144780</xdr:colOff>
      <xdr:row>10</xdr:row>
      <xdr:rowOff>83820</xdr:rowOff>
    </xdr:to>
    <xdr:graphicFrame macro="">
      <xdr:nvGraphicFramePr>
        <xdr:cNvPr id="79" name="Chart 78">
          <a:extLst>
            <a:ext uri="{FF2B5EF4-FFF2-40B4-BE49-F238E27FC236}">
              <a16:creationId xmlns:a16="http://schemas.microsoft.com/office/drawing/2014/main" id="{8116EA20-6EAC-47F1-9CC5-B9A44816B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335280</xdr:colOff>
      <xdr:row>10</xdr:row>
      <xdr:rowOff>129540</xdr:rowOff>
    </xdr:from>
    <xdr:to>
      <xdr:col>18</xdr:col>
      <xdr:colOff>457200</xdr:colOff>
      <xdr:row>12</xdr:row>
      <xdr:rowOff>30480</xdr:rowOff>
    </xdr:to>
    <xdr:sp macro="" textlink="">
      <xdr:nvSpPr>
        <xdr:cNvPr id="80" name="TextBox 79">
          <a:extLst>
            <a:ext uri="{FF2B5EF4-FFF2-40B4-BE49-F238E27FC236}">
              <a16:creationId xmlns:a16="http://schemas.microsoft.com/office/drawing/2014/main" id="{E6259D55-B65B-5A4D-99CC-1793D7387530}"/>
            </a:ext>
          </a:extLst>
        </xdr:cNvPr>
        <xdr:cNvSpPr txBox="1"/>
      </xdr:nvSpPr>
      <xdr:spPr>
        <a:xfrm>
          <a:off x="9479280" y="1958340"/>
          <a:ext cx="19507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No.</a:t>
          </a:r>
          <a:r>
            <a:rPr lang="en-IN" sz="1200" b="0" baseline="0"/>
            <a:t> of Patients by Gender</a:t>
          </a:r>
          <a:endParaRPr lang="en-IN" sz="1200" b="0"/>
        </a:p>
      </xdr:txBody>
    </xdr:sp>
    <xdr:clientData/>
  </xdr:twoCellAnchor>
  <xdr:twoCellAnchor>
    <xdr:from>
      <xdr:col>10</xdr:col>
      <xdr:colOff>594360</xdr:colOff>
      <xdr:row>12</xdr:row>
      <xdr:rowOff>106680</xdr:rowOff>
    </xdr:from>
    <xdr:to>
      <xdr:col>19</xdr:col>
      <xdr:colOff>182880</xdr:colOff>
      <xdr:row>26</xdr:row>
      <xdr:rowOff>167640</xdr:rowOff>
    </xdr:to>
    <xdr:graphicFrame macro="">
      <xdr:nvGraphicFramePr>
        <xdr:cNvPr id="81" name="Chart 80">
          <a:extLst>
            <a:ext uri="{FF2B5EF4-FFF2-40B4-BE49-F238E27FC236}">
              <a16:creationId xmlns:a16="http://schemas.microsoft.com/office/drawing/2014/main" id="{E8945978-005A-489E-9C36-CD327CF0A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137160</xdr:colOff>
      <xdr:row>25</xdr:row>
      <xdr:rowOff>99060</xdr:rowOff>
    </xdr:from>
    <xdr:to>
      <xdr:col>17</xdr:col>
      <xdr:colOff>228600</xdr:colOff>
      <xdr:row>27</xdr:row>
      <xdr:rowOff>0</xdr:rowOff>
    </xdr:to>
    <xdr:sp macro="" textlink="">
      <xdr:nvSpPr>
        <xdr:cNvPr id="82" name="TextBox 81">
          <a:extLst>
            <a:ext uri="{FF2B5EF4-FFF2-40B4-BE49-F238E27FC236}">
              <a16:creationId xmlns:a16="http://schemas.microsoft.com/office/drawing/2014/main" id="{0DBAEB06-AEE9-9D1B-5B7E-27F93E40EE59}"/>
            </a:ext>
          </a:extLst>
        </xdr:cNvPr>
        <xdr:cNvSpPr txBox="1"/>
      </xdr:nvSpPr>
      <xdr:spPr>
        <a:xfrm>
          <a:off x="8061960" y="4671060"/>
          <a:ext cx="25298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No.</a:t>
          </a:r>
          <a:r>
            <a:rPr lang="en-IN" sz="1200" b="0" baseline="0"/>
            <a:t> of Patients by Department Referral</a:t>
          </a:r>
          <a:endParaRPr lang="en-IN" sz="1200" b="0"/>
        </a:p>
      </xdr:txBody>
    </xdr:sp>
    <xdr:clientData/>
  </xdr:twoCellAnchor>
  <xdr:twoCellAnchor editAs="oneCell">
    <xdr:from>
      <xdr:col>7</xdr:col>
      <xdr:colOff>601980</xdr:colOff>
      <xdr:row>1</xdr:row>
      <xdr:rowOff>175261</xdr:rowOff>
    </xdr:from>
    <xdr:to>
      <xdr:col>10</xdr:col>
      <xdr:colOff>403860</xdr:colOff>
      <xdr:row>4</xdr:row>
      <xdr:rowOff>22860</xdr:rowOff>
    </xdr:to>
    <mc:AlternateContent xmlns:mc="http://schemas.openxmlformats.org/markup-compatibility/2006" xmlns:a14="http://schemas.microsoft.com/office/drawing/2010/main">
      <mc:Choice Requires="a14">
        <xdr:graphicFrame macro="">
          <xdr:nvGraphicFramePr>
            <xdr:cNvPr id="83" name="Date (Year)">
              <a:extLst>
                <a:ext uri="{FF2B5EF4-FFF2-40B4-BE49-F238E27FC236}">
                  <a16:creationId xmlns:a16="http://schemas.microsoft.com/office/drawing/2014/main" id="{CA1737BB-C2C1-44A9-A11F-36A074CA292B}"/>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869180" y="358141"/>
              <a:ext cx="1630680" cy="396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556260</xdr:colOff>
      <xdr:row>1</xdr:row>
      <xdr:rowOff>7620</xdr:rowOff>
    </xdr:from>
    <xdr:to>
      <xdr:col>10</xdr:col>
      <xdr:colOff>426720</xdr:colOff>
      <xdr:row>2</xdr:row>
      <xdr:rowOff>91440</xdr:rowOff>
    </xdr:to>
    <xdr:sp macro="" textlink="">
      <xdr:nvSpPr>
        <xdr:cNvPr id="84" name="TextBox 83">
          <a:extLst>
            <a:ext uri="{FF2B5EF4-FFF2-40B4-BE49-F238E27FC236}">
              <a16:creationId xmlns:a16="http://schemas.microsoft.com/office/drawing/2014/main" id="{3818C99E-A982-44E2-05FC-5E5FEFA0F3C6}"/>
            </a:ext>
          </a:extLst>
        </xdr:cNvPr>
        <xdr:cNvSpPr txBox="1"/>
      </xdr:nvSpPr>
      <xdr:spPr>
        <a:xfrm>
          <a:off x="4823460" y="190500"/>
          <a:ext cx="16992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Select</a:t>
          </a:r>
          <a:r>
            <a:rPr lang="en-IN" sz="1200" b="0" baseline="0"/>
            <a:t> Year</a:t>
          </a:r>
          <a:endParaRPr lang="en-IN" sz="12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15240</xdr:colOff>
      <xdr:row>19</xdr:row>
      <xdr:rowOff>175260</xdr:rowOff>
    </xdr:to>
    <xdr:graphicFrame macro="">
      <xdr:nvGraphicFramePr>
        <xdr:cNvPr id="3" name="Chart 2">
          <a:extLst>
            <a:ext uri="{FF2B5EF4-FFF2-40B4-BE49-F238E27FC236}">
              <a16:creationId xmlns:a16="http://schemas.microsoft.com/office/drawing/2014/main" id="{05C9942B-0DB4-43DE-B2B1-999444E3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0</xdr:rowOff>
    </xdr:from>
    <xdr:to>
      <xdr:col>12</xdr:col>
      <xdr:colOff>502920</xdr:colOff>
      <xdr:row>22</xdr:row>
      <xdr:rowOff>83820</xdr:rowOff>
    </xdr:to>
    <xdr:sp macro="" textlink="">
      <xdr:nvSpPr>
        <xdr:cNvPr id="4" name="TextBox 3">
          <a:extLst>
            <a:ext uri="{FF2B5EF4-FFF2-40B4-BE49-F238E27FC236}">
              <a16:creationId xmlns:a16="http://schemas.microsoft.com/office/drawing/2014/main" id="{B6CB6A7D-E9EC-41F0-B03C-A323846053A1}"/>
            </a:ext>
          </a:extLst>
        </xdr:cNvPr>
        <xdr:cNvSpPr txBox="1"/>
      </xdr:nvSpPr>
      <xdr:spPr>
        <a:xfrm>
          <a:off x="609600" y="3840480"/>
          <a:ext cx="7208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Showing</a:t>
          </a:r>
          <a:r>
            <a:rPr lang="en-IN" sz="1200" b="0" baseline="0"/>
            <a:t> a daily trend with an area sparkline to spot pattens like busy days or seasonal trends.</a:t>
          </a:r>
          <a:endParaRPr lang="en-IN" sz="1200" b="0"/>
        </a:p>
      </xdr:txBody>
    </xdr:sp>
    <xdr:clientData/>
  </xdr:twoCellAnchor>
  <xdr:twoCellAnchor editAs="oneCell">
    <xdr:from>
      <xdr:col>0</xdr:col>
      <xdr:colOff>30480</xdr:colOff>
      <xdr:row>0</xdr:row>
      <xdr:rowOff>15240</xdr:rowOff>
    </xdr:from>
    <xdr:to>
      <xdr:col>0</xdr:col>
      <xdr:colOff>396240</xdr:colOff>
      <xdr:row>2</xdr:row>
      <xdr:rowOff>15240</xdr:rowOff>
    </xdr:to>
    <xdr:pic>
      <xdr:nvPicPr>
        <xdr:cNvPr id="6" name="Graphic 5" descr="Home with solid fill">
          <a:hlinkClick xmlns:r="http://schemas.openxmlformats.org/officeDocument/2006/relationships" r:id="rId2"/>
          <a:extLst>
            <a:ext uri="{FF2B5EF4-FFF2-40B4-BE49-F238E27FC236}">
              <a16:creationId xmlns:a16="http://schemas.microsoft.com/office/drawing/2014/main" id="{4E0F9224-F582-4117-2E00-0F5CC43EB05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0480" y="15240"/>
          <a:ext cx="365760" cy="3657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15240</xdr:colOff>
      <xdr:row>19</xdr:row>
      <xdr:rowOff>175260</xdr:rowOff>
    </xdr:to>
    <xdr:graphicFrame macro="">
      <xdr:nvGraphicFramePr>
        <xdr:cNvPr id="2" name="Chart 1">
          <a:extLst>
            <a:ext uri="{FF2B5EF4-FFF2-40B4-BE49-F238E27FC236}">
              <a16:creationId xmlns:a16="http://schemas.microsoft.com/office/drawing/2014/main" id="{63FF6240-1B4D-4E4D-9DEE-85C97F84F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0</xdr:rowOff>
    </xdr:from>
    <xdr:to>
      <xdr:col>12</xdr:col>
      <xdr:colOff>502920</xdr:colOff>
      <xdr:row>22</xdr:row>
      <xdr:rowOff>83820</xdr:rowOff>
    </xdr:to>
    <xdr:sp macro="" textlink="">
      <xdr:nvSpPr>
        <xdr:cNvPr id="4" name="TextBox 3">
          <a:extLst>
            <a:ext uri="{FF2B5EF4-FFF2-40B4-BE49-F238E27FC236}">
              <a16:creationId xmlns:a16="http://schemas.microsoft.com/office/drawing/2014/main" id="{A4C1332C-D8F5-4799-894E-C86CB734BA2C}"/>
            </a:ext>
          </a:extLst>
        </xdr:cNvPr>
        <xdr:cNvSpPr txBox="1"/>
      </xdr:nvSpPr>
      <xdr:spPr>
        <a:xfrm>
          <a:off x="609600" y="3840480"/>
          <a:ext cx="7208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Showing</a:t>
          </a:r>
          <a:r>
            <a:rPr lang="en-IN" sz="1200" b="0" baseline="0"/>
            <a:t> an area sparkline to track daily avg. wait times &amp; highlight days with longer wait times.</a:t>
          </a:r>
          <a:endParaRPr lang="en-IN" sz="1200" b="0"/>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0.00327</cdr:x>
      <cdr:y>0.00348</cdr:y>
    </cdr:from>
    <cdr:to>
      <cdr:x>0.04605</cdr:x>
      <cdr:y>0.10369</cdr:y>
    </cdr:to>
    <cdr:pic>
      <cdr:nvPicPr>
        <cdr:cNvPr id="2" name="Graphic 5"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4E0F9224-F582-4117-2E00-0F5CC43EB05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27940" y="12700"/>
          <a:ext cx="365760" cy="365760"/>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0</xdr:colOff>
      <xdr:row>19</xdr:row>
      <xdr:rowOff>175260</xdr:rowOff>
    </xdr:to>
    <xdr:graphicFrame macro="">
      <xdr:nvGraphicFramePr>
        <xdr:cNvPr id="2" name="Chart 1">
          <a:extLst>
            <a:ext uri="{FF2B5EF4-FFF2-40B4-BE49-F238E27FC236}">
              <a16:creationId xmlns:a16="http://schemas.microsoft.com/office/drawing/2014/main" id="{281A2B37-A5AA-4004-AB72-B675B7E07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0</xdr:rowOff>
    </xdr:from>
    <xdr:to>
      <xdr:col>12</xdr:col>
      <xdr:colOff>502920</xdr:colOff>
      <xdr:row>22</xdr:row>
      <xdr:rowOff>83820</xdr:rowOff>
    </xdr:to>
    <xdr:sp macro="" textlink="">
      <xdr:nvSpPr>
        <xdr:cNvPr id="3" name="TextBox 2">
          <a:extLst>
            <a:ext uri="{FF2B5EF4-FFF2-40B4-BE49-F238E27FC236}">
              <a16:creationId xmlns:a16="http://schemas.microsoft.com/office/drawing/2014/main" id="{499FB127-DD8F-4FBF-8873-258159EFF07D}"/>
            </a:ext>
          </a:extLst>
        </xdr:cNvPr>
        <xdr:cNvSpPr txBox="1"/>
      </xdr:nvSpPr>
      <xdr:spPr>
        <a:xfrm>
          <a:off x="609600" y="3840480"/>
          <a:ext cx="7208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Showing</a:t>
          </a:r>
          <a:r>
            <a:rPr lang="en-IN" sz="1200" b="0" baseline="0"/>
            <a:t> an area sparkline to track daily Patient Satisfaction Score.</a:t>
          </a:r>
          <a:endParaRPr lang="en-IN" sz="1200" b="0"/>
        </a:p>
      </xdr:txBody>
    </xdr:sp>
    <xdr:clientData/>
  </xdr:twoCellAnchor>
</xdr:wsDr>
</file>

<file path=xl/drawings/drawing7.xml><?xml version="1.0" encoding="utf-8"?>
<c:userShapes xmlns:c="http://schemas.openxmlformats.org/drawingml/2006/chart">
  <cdr:relSizeAnchor xmlns:cdr="http://schemas.openxmlformats.org/drawingml/2006/chartDrawing">
    <cdr:from>
      <cdr:x>0.00327</cdr:x>
      <cdr:y>0.00348</cdr:y>
    </cdr:from>
    <cdr:to>
      <cdr:x>0.04613</cdr:x>
      <cdr:y>0.10369</cdr:y>
    </cdr:to>
    <cdr:pic>
      <cdr:nvPicPr>
        <cdr:cNvPr id="3" name="Graphic 5"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4E0F9224-F582-4117-2E00-0F5CC43EB05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27940" y="12700"/>
          <a:ext cx="365760" cy="36576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0023149" createdVersion="5" refreshedVersion="8" minRefreshableVersion="3" recordCount="0" supportSubquery="1" supportAdvancedDrill="1" xr:uid="{979B70D0-33EA-4B99-99C0-B4B5B6C2FF29}">
  <cacheSource type="external" connectionId="3"/>
  <cacheFields count="4">
    <cacheField name="[Measures].[Distinct Count of Patient Id]" caption="Distinct Count of Patient Id" numFmtId="0" hierarchy="24" level="32767"/>
    <cacheField name="[Calendar_Table].[Date (Day)].[Date (Day)]" caption="Date (Day)" numFmtId="0" hierarchy="2" level="1">
      <sharedItems count="31">
        <s v="1-Jan"/>
        <s v="2-Jan"/>
        <s v="3-Jan"/>
        <s v="4-Jan"/>
        <s v="5-Jan"/>
        <s v="6-Jan"/>
        <s v="7-Jan"/>
        <s v="8-Jan"/>
        <s v="9-Jan"/>
        <s v="10-Jan"/>
        <s v="11-Jan"/>
        <s v="12-Jan"/>
        <s v="13-Jan"/>
        <s v="14-Jan"/>
        <s v="15-Jan"/>
        <s v="16-Jan"/>
        <s v="17-Jan"/>
        <s v="18-Jan"/>
        <s v="19-Jan"/>
        <s v="20-Jan"/>
        <s v="21-Jan"/>
        <s v="22-Jan"/>
        <s v="23-Jan"/>
        <s v="24-Jan"/>
        <s v="25-Jan"/>
        <s v="26-Jan"/>
        <s v="27-Jan"/>
        <s v="28-Jan"/>
        <s v="29-Jan"/>
        <s v="30-Jan"/>
        <s v="31-Jan"/>
      </sharedItems>
    </cacheField>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0023149" createdVersion="5" refreshedVersion="8" minRefreshableVersion="3" recordCount="0" supportSubquery="1" supportAdvancedDrill="1" xr:uid="{C5DDCFED-D47F-4EC5-A480-613F62AD2214}">
  <cacheSource type="external" connectionId="3"/>
  <cacheFields count="3">
    <cacheField name="[Measures].[Distinct Count of Patient Id]" caption="Distinct Count of Patient Id" numFmtId="0" hierarchy="24"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0138888" createdVersion="5" refreshedVersion="8" minRefreshableVersion="3" recordCount="0" supportSubquery="1" supportAdvancedDrill="1" xr:uid="{B1CCD893-9DD3-432A-9BE5-A178EB2C0320}">
  <cacheSource type="external" connectionId="3"/>
  <cacheFields count="3">
    <cacheField name="[Measures].[Average of Patient Waittime]" caption="Average of Patient Waittime" numFmtId="0" hierarchy="26"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0254626" createdVersion="5" refreshedVersion="8" minRefreshableVersion="3" recordCount="0" supportSubquery="1" supportAdvancedDrill="1" xr:uid="{504E2581-044A-400A-91CC-E62713F0B596}">
  <cacheSource type="external" connectionId="3"/>
  <cacheFields count="3">
    <cacheField name="[Measures].[Average of Patient Satisfaction Score]" caption="Average of Patient Satisfaction Score" numFmtId="0" hierarchy="28"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0717596" createdVersion="5" refreshedVersion="8" minRefreshableVersion="3" recordCount="0" supportSubquery="1" supportAdvancedDrill="1" xr:uid="{EB38D8C1-C773-4D11-A1FE-6AB765AF8B97}">
  <cacheSource type="external" connectionId="3"/>
  <cacheFields count="4">
    <cacheField name="[Calendar_Table].[Date (Day)].[Date (Day)]" caption="Date (Day)" numFmtId="0" hierarchy="2" level="1">
      <sharedItems count="31">
        <s v="1-Jan"/>
        <s v="2-Jan"/>
        <s v="3-Jan"/>
        <s v="4-Jan"/>
        <s v="5-Jan"/>
        <s v="6-Jan"/>
        <s v="7-Jan"/>
        <s v="8-Jan"/>
        <s v="9-Jan"/>
        <s v="10-Jan"/>
        <s v="11-Jan"/>
        <s v="12-Jan"/>
        <s v="13-Jan"/>
        <s v="14-Jan"/>
        <s v="15-Jan"/>
        <s v="16-Jan"/>
        <s v="17-Jan"/>
        <s v="18-Jan"/>
        <s v="19-Jan"/>
        <s v="20-Jan"/>
        <s v="21-Jan"/>
        <s v="22-Jan"/>
        <s v="23-Jan"/>
        <s v="24-Jan"/>
        <s v="25-Jan"/>
        <s v="26-Jan"/>
        <s v="27-Jan"/>
        <s v="28-Jan"/>
        <s v="29-Jan"/>
        <s v="30-Jan"/>
        <s v="31-Jan"/>
      </sharedItems>
    </cacheField>
    <cacheField name="[Calendar_Table].[Date (Month)].[Date (Month)]" caption="Date (Month)" numFmtId="0" hierarchy="1" level="1">
      <sharedItems containsSemiMixedTypes="0" containsNonDate="0" containsString="0"/>
    </cacheField>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1296296" createdVersion="5" refreshedVersion="8" minRefreshableVersion="3" recordCount="0" supportSubquery="1" supportAdvancedDrill="1" xr:uid="{CF8098FD-CC78-4E55-B545-F4A6B1EC23DC}">
  <cacheSource type="external" connectionId="3"/>
  <cacheFields count="4">
    <cacheField name="[Calendar_Table].[Date (Day)].[Date (Day)]" caption="Date (Day)" numFmtId="0" hierarchy="2" level="1">
      <sharedItems count="31">
        <s v="1-Jan"/>
        <s v="2-Jan"/>
        <s v="3-Jan"/>
        <s v="4-Jan"/>
        <s v="5-Jan"/>
        <s v="6-Jan"/>
        <s v="7-Jan"/>
        <s v="8-Jan"/>
        <s v="9-Jan"/>
        <s v="10-Jan"/>
        <s v="11-Jan"/>
        <s v="12-Jan"/>
        <s v="13-Jan"/>
        <s v="14-Jan"/>
        <s v="15-Jan"/>
        <s v="16-Jan"/>
        <s v="17-Jan"/>
        <s v="18-Jan"/>
        <s v="19-Jan"/>
        <s v="20-Jan"/>
        <s v="21-Jan"/>
        <s v="22-Jan"/>
        <s v="23-Jan"/>
        <s v="24-Jan"/>
        <s v="25-Jan"/>
        <s v="26-Jan"/>
        <s v="27-Jan"/>
        <s v="28-Jan"/>
        <s v="29-Jan"/>
        <s v="30-Jan"/>
        <s v="31-Jan"/>
      </sharedItems>
    </cacheField>
    <cacheField name="[Calenda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1759258" createdVersion="5" refreshedVersion="8" minRefreshableVersion="3" recordCount="0" supportSubquery="1" supportAdvancedDrill="1" xr:uid="{B7934499-AC72-472F-8004-EC8C644FF842}">
  <cacheSource type="external" connectionId="3"/>
  <cacheFields count="5">
    <cacheField name="[Calendar_Table].[Date (Month)].[Date (Month)]" caption="Date (Month)" numFmtId="0" hierarchy="1" level="1">
      <sharedItems containsSemiMixedTypes="0" containsNonDate="0" containsString="0"/>
    </cacheField>
    <cacheField name="[Hospital Emergency Room Data].[Patient Admission Status].[Patient Admission Status]" caption="Patient Admission Status" numFmtId="0" hierarchy="13" level="1">
      <sharedItems count="2">
        <s v="Admitted"/>
        <s v="Not Admitted"/>
      </sharedItems>
    </cacheField>
    <cacheField name="[Measures].[Count of Patient Admission Status]" caption="Count of Patient Admission Status" numFmtId="0" hierarchy="29" level="32767"/>
    <cacheField name="[Calendar_Table].[Date (Year)].[Date (Year)]" caption="Date (Year)" numFmtId="0" hierarchy="3" level="1">
      <sharedItems containsSemiMixedTypes="0" containsNonDate="0" containsString="0"/>
    </cacheField>
    <cacheField name="Dummy0" numFmtId="0" hierarchy="35" level="32767">
      <extLst>
        <ext xmlns:x14="http://schemas.microsoft.com/office/spreadsheetml/2009/9/main" uri="{63CAB8AC-B538-458d-9737-405883B0398D}">
          <x14:cacheField ignore="1"/>
        </ext>
      </extLst>
    </cacheField>
  </cacheFields>
  <cacheHierarchies count="36">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2106481" createdVersion="5" refreshedVersion="8" minRefreshableVersion="3" recordCount="0" supportSubquery="1" supportAdvancedDrill="1" xr:uid="{2A53E999-0981-4AD5-9B62-22463BF25A14}">
  <cacheSource type="external" connectionId="3"/>
  <cacheFields count="4">
    <cacheField name="[Calendar_Table].[Date (Month)].[Date (Month)]" caption="Date (Month)" numFmtId="0" hierarchy="1" level="1">
      <sharedItems containsSemiMixedTypes="0" containsNonDate="0" containsString="0"/>
    </cacheField>
    <cacheField name="[Hospital Emergency Room Data].[Patient Age Group].[Patient Age Group]" caption="Patient Age Group" numFmtId="0" hierarchy="16" level="1">
      <sharedItems count="8">
        <s v="0-9"/>
        <s v="10-19"/>
        <s v="20-29"/>
        <s v="30-39"/>
        <s v="40-49"/>
        <s v="50-59"/>
        <s v="60-69"/>
        <s v="70-79"/>
      </sharedItems>
    </cacheField>
    <cacheField name="[Measures].[Count of Patient Age Group]" caption="Count of Patient Age Group" numFmtId="0" hierarchy="32"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2569443" createdVersion="5" refreshedVersion="8" minRefreshableVersion="3" recordCount="0" supportSubquery="1" supportAdvancedDrill="1" xr:uid="{35623FE6-51E3-462C-A405-E3A2E757B88C}">
  <cacheSource type="external" connectionId="3"/>
  <cacheFields count="5">
    <cacheField name="[Calendar_Table].[Date (Month)].[Date (Month)]" caption="Date (Month)" numFmtId="0" hierarchy="1" level="1">
      <sharedItems containsSemiMixedTypes="0" containsNonDate="0" containsString="0"/>
    </cacheField>
    <cacheField name="[Hospital Emergency Room Data].[Patient Age Group].[Patient Age Group]" caption="Patient Age Group" numFmtId="0" hierarchy="16" level="1">
      <sharedItems count="8">
        <s v="0-9"/>
        <s v="10-19"/>
        <s v="20-29"/>
        <s v="30-39"/>
        <s v="40-49"/>
        <s v="50-59"/>
        <s v="60-69"/>
        <s v="70-79"/>
      </sharedItems>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30"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4"/>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2"/>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oneField="1" hidden="1">
      <fieldsUsage count="1">
        <fieldUsage x="3"/>
      </fieldsUsage>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2916667" createdVersion="5" refreshedVersion="8" minRefreshableVersion="3" recordCount="0" supportSubquery="1" supportAdvancedDrill="1" xr:uid="{3E64647E-CD35-4B23-9ED1-37116BDFF6B1}">
  <cacheSource type="external" connectionId="3"/>
  <cacheFields count="5">
    <cacheField name="[Calendar_Table].[Date (Month)].[Date (Month)]" caption="Date (Month)" numFmtId="0" hierarchy="1" level="1">
      <sharedItems containsSemiMixedTypes="0" containsNonDate="0" containsString="0"/>
    </cacheField>
    <cacheField name="[Hospital Emergency Room Data].[Patient Age Group].[Patient Age Group]" caption="Patient Age Group" numFmtId="0" hierarchy="16" level="1">
      <sharedItems count="8">
        <s v="0-9"/>
        <s v="10-19"/>
        <s v="20-29"/>
        <s v="30-39"/>
        <s v="40-49"/>
        <s v="50-59"/>
        <s v="60-69"/>
        <s v="70-79"/>
      </sharedItems>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3"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4"/>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2"/>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326389" createdVersion="5" refreshedVersion="8" minRefreshableVersion="3" recordCount="0" supportSubquery="1" supportAdvancedDrill="1" xr:uid="{62B5351F-25BD-428D-A77F-768D3CE020DC}">
  <cacheSource type="external" connectionId="3"/>
  <cacheFields count="5">
    <cacheField name="[Calendar_Table].[Date (Month)].[Date (Month)]" caption="Date (Month)" numFmtId="0" hierarchy="1" level="1">
      <sharedItems containsSemiMixedTypes="0" containsNonDate="0" containsString="0"/>
    </cacheField>
    <cacheField name="[Hospital Emergency Room Data].[Patient Age Group].[Patient Age Group]" caption="Patient Age Group" numFmtId="0" hierarchy="16" level="1">
      <sharedItems count="8">
        <s v="0-9"/>
        <s v="10-19"/>
        <s v="20-29"/>
        <s v="30-39"/>
        <s v="40-49"/>
        <s v="50-59"/>
        <s v="60-69"/>
        <s v="70-79"/>
      </sharedItems>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4" level="32767"/>
    <cacheField name="[Calendar_Table].[Date (Year)].[Date (Year)]" caption="Date (Year)" numFmtId="0" hierarchy="3" level="1">
      <sharedItems containsSemiMixedTypes="0" containsNonDate="0" containsString="0"/>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4"/>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2"/>
      </fieldsUsage>
    </cacheHierarchy>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3"/>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932723611113" createdVersion="5" refreshedVersion="8" minRefreshableVersion="3" recordCount="0" supportSubquery="1" supportAdvancedDrill="1" xr:uid="{F123D636-07BA-40F5-B972-AB62D8F9BFAA}">
  <cacheSource type="external" connectionId="3"/>
  <cacheFields count="5">
    <cacheField name="[Calendar_Table].[Date (Month)].[Date (Month)]" caption="Date (Month)" numFmtId="0" hierarchy="1" level="1">
      <sharedItems count="1">
        <s v="Jan"/>
      </sharedItems>
    </cacheField>
    <cacheField name="[Hospital Emergency Room Data].[Patient Age Group].[Patient Age Group]" caption="Patient Age Group" numFmtId="0" hierarchy="16" level="1">
      <sharedItems count="8">
        <s v="0-9"/>
        <s v="10-19"/>
        <s v="20-29"/>
        <s v="30-39"/>
        <s v="40-49"/>
        <s v="50-59"/>
        <s v="60-69"/>
        <s v="70-79"/>
      </sharedItems>
    </cacheField>
    <cacheField name="[Calendar_Table].[Date].[Date]" caption="Date" numFmtId="0" level="1">
      <sharedItems containsSemiMixedTypes="0" containsNonDate="0" containsDate="1" containsString="0" minDate="2023-01-01T00:00:00" maxDate="2024-02-01T00:00:00" count="62">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sharedItems>
    </cacheField>
    <cacheField name="[Calendar_Table].[Date (Quarter)].[Date (Quarter)]" caption="Date (Quarter)" numFmtId="0" hierarchy="4" level="1">
      <sharedItems count="1">
        <s v="Qtr1"/>
      </sharedItems>
    </cacheField>
    <cacheField name="[Calendar_Table].[Date (Year)].[Date (Year)]" caption="Date (Year)" numFmtId="0" hierarchy="3" level="1">
      <sharedItems count="1">
        <s v="2024"/>
      </sharedItems>
    </cacheField>
  </cacheFields>
  <cacheHierarchies count="35">
    <cacheHierarchy uniqueName="[Calendar_Table].[Date]" caption="Date" attribute="1" time="1" defaultMemberUniqueName="[Calendar_Table].[Date].[All]" allUniqueName="[Calendar_Table].[Date].[All]" dimensionUniqueName="[Calendar_Table]" displayFolder="" count="2" memberValueDatatype="7" unbalanced="0">
      <fieldsUsage count="2">
        <fieldUsage x="-1"/>
        <fieldUsage x="2"/>
      </fieldsUsage>
    </cacheHierarchy>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4"/>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3"/>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ince Madheshiya" refreshedDate="45703.419477314812" createdVersion="3" refreshedVersion="8" minRefreshableVersion="3" recordCount="0" supportSubquery="1" supportAdvancedDrill="1" xr:uid="{84F0A767-1B4A-4DF7-B895-98B025FAA281}">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Status]" caption="Patient Admission Status" attribute="1" defaultMemberUniqueName="[Hospital Emergency Room Data].[Patient Admission Status].[All]" allUniqueName="[Hospital Emergency Room Data].[Patient Admission Status].[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ge Group]" caption="Patient Age Group" attribute="1" defaultMemberUniqueName="[Hospital Emergency Room Data].[Patient Age Group].[All]" allUniqueName="[Hospital Emergency Room Data].[Patient 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Status]" caption="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Distinct Count of Patient Admission Status]" caption="Distinct Count of Patient Admission Status"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Patient Age Group]" caption="Count of Patient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7535337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F1D4F9-6F21-4BE3-9881-009E5752355D}" name="PivotTable1" cacheId="162" applyNumberFormats="0" applyBorderFormats="0" applyFontFormats="0" applyPatternFormats="0" applyAlignmentFormats="0" applyWidthHeightFormats="1" dataCaption="Values" tag="35ce47e3-d4ac-4a0f-a114-485f6d5209c3" updatedVersion="8" minRefreshableVersion="3" subtotalHiddenItems="1"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289DAB-B1FB-4245-B1AD-D12B95C060F8}" name="PivotTable21" cacheId="192" applyNumberFormats="0" applyBorderFormats="0" applyFontFormats="0" applyPatternFormats="0" applyAlignmentFormats="0" applyWidthHeightFormats="1" dataCaption="Values" tag="8361abe9-cddd-4fa6-8e8e-50bd8fed6d36" updatedVersion="8" minRefreshableVersion="3" subtotalHiddenItems="1" rowGrandTotals="0" colGrandTotals="0" itemPrintTitles="1" createdVersion="5" indent="0" outline="1" outlineData="1" multipleFieldFilters="0" chartFormat="32">
  <location ref="A100:A101" firstHeaderRow="1" firstDataRow="1" firstDataCol="1"/>
  <pivotFields count="5">
    <pivotField axis="axisRow" allDrilled="1" subtotalTop="0" showAll="0" dataSourceSort="1" defaultSubtotal="0">
      <items count="1">
        <item s="1" x="0" e="0"/>
      </items>
    </pivotField>
    <pivotField allDrilled="1" subtotalTop="0" showAll="0" sortType="ascending" defaultSubtotal="0" defaultAttributeDrillState="1">
      <items count="8">
        <item x="0"/>
        <item x="1"/>
        <item x="2"/>
        <item x="3"/>
        <item x="4"/>
        <item x="5"/>
        <item x="6"/>
        <item x="7"/>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4"/>
    <field x="3"/>
    <field x="0"/>
    <field x="2"/>
  </rowFields>
  <rowItems count="1">
    <i>
      <x/>
    </i>
  </rowItems>
  <formats count="1">
    <format dxfId="65">
      <pivotArea outline="0" collapsedLevelsAreSubtotals="1" fieldPosition="0"/>
    </format>
  </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B63214-967B-45D6-B7A5-F28244C34906}" name="PivotTable16" cacheId="186" applyNumberFormats="0" applyBorderFormats="0" applyFontFormats="0" applyPatternFormats="0" applyAlignmentFormats="0" applyWidthHeightFormats="1" dataCaption="Values" tag="cf8d963f-95ef-4997-8270-4846bee3e00b" updatedVersion="8" minRefreshableVersion="3" subtotalHiddenItems="1" rowGrandTotals="0" colGrandTotals="0" itemPrintTitles="1" createdVersion="5" indent="0" outline="1" outlineData="1" multipleFieldFilters="0" chartFormat="31">
  <location ref="A78:B80" firstHeaderRow="1" firstDataRow="1" firstDataCol="1"/>
  <pivotFields count="5">
    <pivotField allDrilled="1" subtotalTop="0" showAll="0" dataSourceSort="1" defaultSubtotal="0" defaultAttributeDrillState="1"/>
    <pivotField allDrilled="1" subtotalTop="0" showAll="0" sortType="ascending" defaultSubtotal="0" defaultAttributeDrillState="1">
      <items count="8">
        <item x="0"/>
        <item x="1"/>
        <item x="2"/>
        <item x="3"/>
        <item x="4"/>
        <item x="5"/>
        <item x="6"/>
        <item x="7"/>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2"/>
  </rowFields>
  <rowItems count="2">
    <i>
      <x/>
    </i>
    <i>
      <x v="1"/>
    </i>
  </rowItems>
  <colItems count="1">
    <i/>
  </colItems>
  <dataFields count="1">
    <dataField name="Count of Patient Gender" fld="3" subtotal="count" baseField="0" baseItem="0"/>
  </dataFields>
  <formats count="1">
    <format dxfId="66">
      <pivotArea outline="0" collapsedLevelsAreSubtotals="1" fieldPosition="0"/>
    </format>
  </formats>
  <chartFormats count="3">
    <chartFormat chart="26" format="4" series="1">
      <pivotArea type="data" outline="0" fieldPosition="0">
        <references count="1">
          <reference field="4294967294" count="1" selected="0">
            <x v="0"/>
          </reference>
        </references>
      </pivotArea>
    </chartFormat>
    <chartFormat chart="26" format="5">
      <pivotArea type="data" outline="0" fieldPosition="0">
        <references count="2">
          <reference field="4294967294" count="1" selected="0">
            <x v="0"/>
          </reference>
          <reference field="2" count="1" selected="0">
            <x v="0"/>
          </reference>
        </references>
      </pivotArea>
    </chartFormat>
    <chartFormat chart="26" format="6">
      <pivotArea type="data" outline="0" fieldPosition="0">
        <references count="2">
          <reference field="4294967294" count="1" selected="0">
            <x v="0"/>
          </reference>
          <reference field="2" count="1" selected="0">
            <x v="1"/>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9AF253-985D-41E7-B7DB-6385097A3DE3}" name="PivotTable12" cacheId="174" applyNumberFormats="0" applyBorderFormats="0" applyFontFormats="0" applyPatternFormats="0" applyAlignmentFormats="0" applyWidthHeightFormats="1" dataCaption="Values" tag="31f9b0ac-c1b3-4688-85f1-2f3d27f0389d" updatedVersion="8" minRefreshableVersion="3" subtotalHiddenItems="1" itemPrintTitles="1" createdVersion="5" indent="0" outline="1" outlineData="1" multipleFieldFilters="0" chartFormat="29">
  <location ref="O4:P36"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Satisfaction Score" fld="2" subtotal="average" baseField="0" baseItem="0"/>
  </dataFields>
  <formats count="1">
    <format dxfId="67">
      <pivotArea outline="0" collapsedLevelsAreSubtotals="1" fieldPosition="0"/>
    </format>
  </formats>
  <chartFormats count="2">
    <chartFormat chart="24" format="2" series="1">
      <pivotArea type="data" outline="0" fieldPosition="0">
        <references count="1">
          <reference field="4294967294" count="1" selected="0">
            <x v="0"/>
          </reference>
        </references>
      </pivotArea>
    </chartFormat>
    <chartFormat chart="27" format="5"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B683141-64A7-40C6-B34B-137184083FD8}" name="PivotTable3" cacheId="168" applyNumberFormats="0" applyBorderFormats="0" applyFontFormats="0" applyPatternFormats="0" applyAlignmentFormats="0" applyWidthHeightFormats="1" dataCaption="Values" tag="3a59f12a-1b2a-45c0-8475-81f3a76e847d" updatedVersion="8" minRefreshableVersion="3" subtotalHiddenItems="1" itemPrintTitles="1" createdVersion="5" indent="0" outline="1" outlineData="1" multipleFieldFilters="0">
  <location ref="A14:A1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68">
      <pivotArea outline="0" collapsedLevelsAreSubtotals="1" fieldPosition="0"/>
    </format>
  </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F09143A-79C3-47B2-9FA8-2C8011EC873A}" name="PivotTable15" cacheId="183" applyNumberFormats="0" applyBorderFormats="0" applyFontFormats="0" applyPatternFormats="0" applyAlignmentFormats="0" applyWidthHeightFormats="1" dataCaption="Values" tag="b230c37e-92cb-4178-8e37-7ac4519f7cbf" updatedVersion="8" minRefreshableVersion="3" subtotalHiddenItems="1" rowGrandTotals="0" colGrandTotals="0" itemPrintTitles="1" createdVersion="5" indent="0" outline="1" outlineData="1" multipleFieldFilters="0" chartFormat="20">
  <location ref="A71:B73" firstHeaderRow="1" firstDataRow="1" firstDataCol="1"/>
  <pivotFields count="5">
    <pivotField allDrilled="1" subtotalTop="0" showAll="0" dataSourceSort="1" defaultSubtotal="0" defaultAttributeDrillState="1"/>
    <pivotField allDrilled="1" subtotalTop="0" showAll="0" sortType="ascending" defaultSubtotal="0" defaultAttributeDrillState="1">
      <items count="8">
        <item x="0"/>
        <item x="1"/>
        <item x="2"/>
        <item x="3"/>
        <item x="4"/>
        <item x="5"/>
        <item x="6"/>
        <item x="7"/>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2"/>
  </rowFields>
  <rowItems count="2">
    <i>
      <x/>
    </i>
    <i>
      <x v="1"/>
    </i>
  </rowItems>
  <colItems count="1">
    <i/>
  </colItems>
  <dataFields count="1">
    <dataField name="Count of Patient Attend Status" fld="3" subtotal="count" baseField="0" baseItem="0"/>
  </dataFields>
  <formats count="1">
    <format dxfId="69">
      <pivotArea outline="0" collapsedLevelsAreSubtotals="1" fieldPosition="0"/>
    </format>
  </formats>
  <chartFormats count="3">
    <chartFormat chart="16" format="4"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2" count="1" selected="0">
            <x v="0"/>
          </reference>
        </references>
      </pivotArea>
    </chartFormat>
    <chartFormat chart="16" format="6">
      <pivotArea type="data" outline="0" fieldPosition="0">
        <references count="2">
          <reference field="4294967294" count="1" selected="0">
            <x v="0"/>
          </reference>
          <reference field="2" count="1" selected="0">
            <x v="1"/>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70E61B5-E64A-43DB-91DE-08437C3FA6FA}" name="PivotTable17" cacheId="189" applyNumberFormats="0" applyBorderFormats="0" applyFontFormats="0" applyPatternFormats="0" applyAlignmentFormats="0" applyWidthHeightFormats="1" dataCaption="Values" tag="9bebba46-45fd-429f-845e-404585a9432b" updatedVersion="8" minRefreshableVersion="3" subtotalHiddenItems="1" rowGrandTotals="0" colGrandTotals="0" itemPrintTitles="1" createdVersion="5" indent="0" outline="1" outlineData="1" multipleFieldFilters="0" chartFormat="33">
  <location ref="A86:B94" firstHeaderRow="1" firstDataRow="1" firstDataCol="1"/>
  <pivotFields count="5">
    <pivotField allDrilled="1" subtotalTop="0" showAll="0" dataSourceSort="1" defaultSubtotal="0" defaultAttributeDrillState="1"/>
    <pivotField allDrilled="1" subtotalTop="0" showAll="0" sortType="ascending" defaultSubtotal="0" defaultAttributeDrillState="1">
      <items count="8">
        <item x="0"/>
        <item x="1"/>
        <item x="2"/>
        <item x="3"/>
        <item x="4"/>
        <item x="5"/>
        <item x="6"/>
        <item x="7"/>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2"/>
  </rowFields>
  <rowItems count="8">
    <i>
      <x v="1"/>
    </i>
    <i>
      <x v="7"/>
    </i>
    <i>
      <x v="3"/>
    </i>
    <i>
      <x v="6"/>
    </i>
    <i>
      <x/>
    </i>
    <i>
      <x v="5"/>
    </i>
    <i>
      <x v="2"/>
    </i>
    <i>
      <x v="4"/>
    </i>
  </rowItems>
  <colItems count="1">
    <i/>
  </colItems>
  <dataFields count="1">
    <dataField name="Count of Department Referral" fld="3" subtotal="count" baseField="0" baseItem="0"/>
  </dataFields>
  <formats count="1">
    <format dxfId="70">
      <pivotArea outline="0" collapsedLevelsAreSubtotals="1" fieldPosition="0"/>
    </format>
  </formats>
  <chartFormats count="2">
    <chartFormat chart="27" format="2"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73EAE85-8670-4732-B726-A56ED9E614CA}" name="PivotTable2" cacheId="165" applyNumberFormats="0" applyBorderFormats="0" applyFontFormats="0" applyPatternFormats="0" applyAlignmentFormats="0" applyWidthHeightFormats="1" dataCaption="Values" tag="6e5097ef-1b67-40db-9e66-441b7f551547" updatedVersion="8" minRefreshableVersion="3" subtotalHiddenItems="1" itemPrintTitles="1" createdVersion="5" indent="0" outline="1" outlineData="1" multipleFieldFilters="0">
  <location ref="A9:A10"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71">
      <pivotArea outline="0" collapsedLevelsAreSubtotals="1" fieldPosition="0"/>
    </format>
  </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7D795AE-7C9F-471A-8BF7-14D46E4473A4}" name="PivotTable11" cacheId="171" applyNumberFormats="0" applyBorderFormats="0" applyFontFormats="0" applyPatternFormats="0" applyAlignmentFormats="0" applyWidthHeightFormats="1" dataCaption="Values" tag="5c5165f3-e5c7-40b4-ad74-26bfc0e13232" updatedVersion="8" minRefreshableVersion="3" subtotalHiddenItems="1" itemPrintTitles="1" createdVersion="5" indent="0" outline="1" outlineData="1" multipleFieldFilters="0" chartFormat="21">
  <location ref="K4:L36"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2" subtotal="average" baseField="0" baseItem="0" numFmtId="2"/>
  </dataFields>
  <formats count="1">
    <format dxfId="72">
      <pivotArea outline="0" collapsedLevelsAreSubtotals="1" fieldPosition="0"/>
    </format>
  </formats>
  <chartFormats count="2">
    <chartFormat chart="15" format="2"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B460BE3-6355-44FE-9BAE-6486DA6457AA}" name="PivotTable14" cacheId="180" applyNumberFormats="0" applyBorderFormats="0" applyFontFormats="0" applyPatternFormats="0" applyAlignmentFormats="0" applyWidthHeightFormats="1" dataCaption="Values" tag="661f9001-9ee5-4fce-94ec-abb59af28864" updatedVersion="8" minRefreshableVersion="3" subtotalHiddenItems="1" itemPrintTitles="1" createdVersion="5" indent="0" outline="1" outlineData="1" multipleFieldFilters="0" chartFormat="11">
  <location ref="A57:B66"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Patient Age Group" fld="2" subtotal="count" baseField="0" baseItem="0" numFmtId="1"/>
  </dataFields>
  <formats count="1">
    <format dxfId="73">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14081E3-4BC2-426D-8B09-109EFA01BEA6}" name="PivotTable10" cacheId="159" applyNumberFormats="0" applyBorderFormats="0" applyFontFormats="0" applyPatternFormats="0" applyAlignmentFormats="0" applyWidthHeightFormats="1" dataCaption="Values" tag="46c6a918-a175-4940-ba40-abcd1c1b1268" updatedVersion="8" minRefreshableVersion="3" subtotalHiddenItems="1" itemPrintTitles="1" createdVersion="5" indent="0" outline="1" outlineData="1" multipleFieldFilters="0" chartFormat="12">
  <location ref="G4:H36" firstHeaderRow="1" firstDataRow="1" firstDataCol="1"/>
  <pivotFields count="4">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2"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12E3EB9-641E-4FA8-97B3-D1C0FD880767}" name="PivotTable13" cacheId="177" applyNumberFormats="0" applyBorderFormats="0" applyFontFormats="0" applyPatternFormats="0" applyAlignmentFormats="0" applyWidthHeightFormats="1" dataCaption="Values" tag="4e65d78d-0e54-4d01-8f70-c9a854b4b5d6" updatedVersion="8" minRefreshableVersion="3" subtotalHiddenItems="1" rowGrandTotals="0" colGrandTotals="0" itemPrintTitles="1" createdVersion="5" indent="0" outline="1" outlineData="1" multipleFieldFilters="0" chartFormat="2">
  <location ref="A42:C44"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name="Count of Patient Admission Status" fld="2" subtotal="count" baseField="0" baseItem="0"/>
    <dataField name="Count of Patient Admission Status2" fld="4" subtotal="count" showDataAs="percentOfTotal" baseField="0" baseItem="0" numFmtId="10">
      <extLst>
        <ext xmlns:x14="http://schemas.microsoft.com/office/spreadsheetml/2009/9/main" uri="{E15A36E0-9728-4e99-A89B-3F7291B0FE68}">
          <x14:dataField sourceField="2" uniqueName="[__Xl2].[Measures].[Count of Patient Admission Status]"/>
        </ext>
      </extLst>
    </dataField>
  </dataFields>
  <formats count="4">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0"/>
        </references>
      </pivotArea>
    </format>
    <format dxfId="74">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caption="Count of Patient Admission Status"/>
    <pivotHierarchy dragToData="1"/>
    <pivotHierarchy dragToData="1" caption="Distinct Count of Patient Admission Status"/>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0481BDED-0ADE-4291-85C4-6A017C82C076}" sourceName="[Calendar_Table].[Date (Month)]">
  <pivotTables>
    <pivotTable tabId="1" name="PivotTable10"/>
    <pivotTable tabId="1" name="PivotTable1"/>
    <pivotTable tabId="1" name="PivotTable2"/>
    <pivotTable tabId="1" name="PivotTable3"/>
    <pivotTable tabId="1" name="PivotTable11"/>
    <pivotTable tabId="1" name="PivotTable12"/>
    <pivotTable tabId="1" name="PivotTable13"/>
    <pivotTable tabId="1" name="PivotTable14"/>
    <pivotTable tabId="1" name="PivotTable15"/>
    <pivotTable tabId="1" name="PivotTable16"/>
    <pivotTable tabId="1" name="PivotTable17"/>
    <pivotTable tabId="1" name="PivotTable21"/>
  </pivotTables>
  <data>
    <olap pivotCacheId="1753533757">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mp;[Ja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08637CA3-6E42-498B-B0B3-FEB706E3C14F}" sourceName="[Calendar_Table].[Date (Year)]">
  <pivotTables>
    <pivotTable tabId="1" name="PivotTable21"/>
    <pivotTable tabId="1" name="PivotTable1"/>
    <pivotTable tabId="1" name="PivotTable10"/>
    <pivotTable tabId="1" name="PivotTable11"/>
    <pivotTable tabId="1" name="PivotTable12"/>
    <pivotTable tabId="1" name="PivotTable13"/>
    <pivotTable tabId="1" name="PivotTable14"/>
    <pivotTable tabId="1" name="PivotTable15"/>
    <pivotTable tabId="1" name="PivotTable16"/>
    <pivotTable tabId="1" name="PivotTable17"/>
    <pivotTable tabId="1" name="PivotTable2"/>
    <pivotTable tabId="1" name="PivotTable3"/>
  </pivotTables>
  <data>
    <olap pivotCacheId="1753533757">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36939AA7-92E3-4393-BEA0-AED5BDB73FA1}" cache="Slicer_Date__Month" caption="Date (Month)" showCaption="0" level="1" style="My Style" rowHeight="252000"/>
  <slicer name="Date (Year)" xr10:uid="{539A64AD-D54E-4912-991D-7AAD05C432E4}" cache="Slicer_Date__Year" caption="Date (Year)" columnCount="2" showCaption="0" level="1" style="My Styl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AE871-F9BE-450A-9E10-9DCDA841EF4D}">
  <sheetPr>
    <tabColor rgb="FFFFFF00"/>
  </sheetPr>
  <dimension ref="A3:P101"/>
  <sheetViews>
    <sheetView zoomScaleNormal="100" workbookViewId="0">
      <selection activeCell="F35" sqref="F35"/>
    </sheetView>
  </sheetViews>
  <sheetFormatPr defaultRowHeight="14.4" x14ac:dyDescent="0.3"/>
  <cols>
    <col min="1" max="1" width="18.88671875" customWidth="1"/>
    <col min="2" max="2" width="25.88671875" customWidth="1"/>
    <col min="3" max="3" width="13.5546875" customWidth="1"/>
    <col min="4" max="4" width="15.109375" customWidth="1"/>
    <col min="7" max="7" width="20.88671875" customWidth="1"/>
    <col min="8" max="8" width="23.33203125" customWidth="1"/>
    <col min="11" max="11" width="22.77734375" customWidth="1"/>
    <col min="12" max="12" width="23.88671875" bestFit="1" customWidth="1"/>
    <col min="15" max="15" width="29.5546875" customWidth="1"/>
    <col min="16" max="16" width="31.6640625" customWidth="1"/>
  </cols>
  <sheetData>
    <row r="3" spans="1:16" x14ac:dyDescent="0.3">
      <c r="A3" t="s">
        <v>1</v>
      </c>
      <c r="G3" t="s">
        <v>7</v>
      </c>
      <c r="K3" t="s">
        <v>8</v>
      </c>
      <c r="O3" t="s">
        <v>9</v>
      </c>
    </row>
    <row r="4" spans="1:16" x14ac:dyDescent="0.3">
      <c r="A4" t="s">
        <v>0</v>
      </c>
      <c r="G4" s="1" t="s">
        <v>6</v>
      </c>
      <c r="H4" t="s">
        <v>0</v>
      </c>
      <c r="K4" s="1" t="s">
        <v>6</v>
      </c>
      <c r="L4" t="s">
        <v>2</v>
      </c>
      <c r="O4" s="1" t="s">
        <v>6</v>
      </c>
      <c r="P4" t="s">
        <v>3</v>
      </c>
    </row>
    <row r="5" spans="1:16" x14ac:dyDescent="0.3">
      <c r="A5" s="12">
        <v>513</v>
      </c>
      <c r="G5" s="3" t="s">
        <v>49</v>
      </c>
      <c r="H5" s="12">
        <v>19</v>
      </c>
      <c r="K5" s="3" t="s">
        <v>49</v>
      </c>
      <c r="L5" s="2">
        <v>37.789473684210527</v>
      </c>
      <c r="O5" s="3" t="s">
        <v>49</v>
      </c>
      <c r="P5" s="2">
        <v>6.666666666666667</v>
      </c>
    </row>
    <row r="6" spans="1:16" x14ac:dyDescent="0.3">
      <c r="G6" s="3" t="s">
        <v>50</v>
      </c>
      <c r="H6" s="12">
        <v>14</v>
      </c>
      <c r="K6" s="3" t="s">
        <v>50</v>
      </c>
      <c r="L6" s="2">
        <v>38.214285714285715</v>
      </c>
      <c r="O6" s="3" t="s">
        <v>50</v>
      </c>
      <c r="P6" s="2">
        <v>3.5</v>
      </c>
    </row>
    <row r="7" spans="1:16" x14ac:dyDescent="0.3">
      <c r="G7" s="3" t="s">
        <v>51</v>
      </c>
      <c r="H7" s="12">
        <v>13</v>
      </c>
      <c r="K7" s="3" t="s">
        <v>51</v>
      </c>
      <c r="L7" s="2">
        <v>40.92307692307692</v>
      </c>
      <c r="O7" s="3" t="s">
        <v>51</v>
      </c>
      <c r="P7" s="2">
        <v>4.5</v>
      </c>
    </row>
    <row r="8" spans="1:16" x14ac:dyDescent="0.3">
      <c r="A8" t="s">
        <v>10</v>
      </c>
      <c r="G8" s="3" t="s">
        <v>52</v>
      </c>
      <c r="H8" s="12">
        <v>22</v>
      </c>
      <c r="K8" s="3" t="s">
        <v>52</v>
      </c>
      <c r="L8" s="2">
        <v>34.5</v>
      </c>
      <c r="O8" s="3" t="s">
        <v>52</v>
      </c>
      <c r="P8" s="2">
        <v>4.8</v>
      </c>
    </row>
    <row r="9" spans="1:16" x14ac:dyDescent="0.3">
      <c r="A9" t="s">
        <v>2</v>
      </c>
      <c r="G9" s="3" t="s">
        <v>53</v>
      </c>
      <c r="H9" s="12">
        <v>19</v>
      </c>
      <c r="K9" s="3" t="s">
        <v>53</v>
      </c>
      <c r="L9" s="2">
        <v>30.684210526315791</v>
      </c>
      <c r="O9" s="3" t="s">
        <v>53</v>
      </c>
      <c r="P9" s="2">
        <v>7.75</v>
      </c>
    </row>
    <row r="10" spans="1:16" x14ac:dyDescent="0.3">
      <c r="A10" s="2">
        <v>36.323586744639378</v>
      </c>
      <c r="G10" s="3" t="s">
        <v>54</v>
      </c>
      <c r="H10" s="12">
        <v>15</v>
      </c>
      <c r="K10" s="3" t="s">
        <v>54</v>
      </c>
      <c r="L10" s="2">
        <v>37.666666666666664</v>
      </c>
      <c r="O10" s="3" t="s">
        <v>54</v>
      </c>
      <c r="P10" s="2">
        <v>6.2</v>
      </c>
    </row>
    <row r="11" spans="1:16" x14ac:dyDescent="0.3">
      <c r="G11" s="3" t="s">
        <v>55</v>
      </c>
      <c r="H11" s="12">
        <v>12</v>
      </c>
      <c r="K11" s="3" t="s">
        <v>55</v>
      </c>
      <c r="L11" s="2">
        <v>36.083333333333336</v>
      </c>
      <c r="O11" s="3" t="s">
        <v>55</v>
      </c>
      <c r="P11" s="2">
        <v>3.75</v>
      </c>
    </row>
    <row r="12" spans="1:16" x14ac:dyDescent="0.3">
      <c r="G12" s="3" t="s">
        <v>56</v>
      </c>
      <c r="H12" s="12">
        <v>21</v>
      </c>
      <c r="K12" s="3" t="s">
        <v>56</v>
      </c>
      <c r="L12" s="2">
        <v>43.523809523809526</v>
      </c>
      <c r="O12" s="3" t="s">
        <v>56</v>
      </c>
      <c r="P12" s="2">
        <v>6.5</v>
      </c>
    </row>
    <row r="13" spans="1:16" x14ac:dyDescent="0.3">
      <c r="A13" t="s">
        <v>11</v>
      </c>
      <c r="G13" s="3" t="s">
        <v>57</v>
      </c>
      <c r="H13" s="12">
        <v>12</v>
      </c>
      <c r="K13" s="3" t="s">
        <v>57</v>
      </c>
      <c r="L13" s="2">
        <v>29.5</v>
      </c>
      <c r="O13" s="3" t="s">
        <v>57</v>
      </c>
      <c r="P13" s="2">
        <v>3</v>
      </c>
    </row>
    <row r="14" spans="1:16" x14ac:dyDescent="0.3">
      <c r="A14" t="s">
        <v>3</v>
      </c>
      <c r="G14" s="3" t="s">
        <v>58</v>
      </c>
      <c r="H14" s="12">
        <v>13</v>
      </c>
      <c r="K14" s="3" t="s">
        <v>58</v>
      </c>
      <c r="L14" s="2">
        <v>38.07692307692308</v>
      </c>
      <c r="O14" s="3" t="s">
        <v>58</v>
      </c>
      <c r="P14" s="2">
        <v>4.5</v>
      </c>
    </row>
    <row r="15" spans="1:16" x14ac:dyDescent="0.3">
      <c r="A15" s="2">
        <v>4.9591836734693882</v>
      </c>
      <c r="G15" s="3" t="s">
        <v>59</v>
      </c>
      <c r="H15" s="12">
        <v>13</v>
      </c>
      <c r="K15" s="3" t="s">
        <v>59</v>
      </c>
      <c r="L15" s="2">
        <v>35.846153846153847</v>
      </c>
      <c r="O15" s="3" t="s">
        <v>59</v>
      </c>
      <c r="P15" s="2">
        <v>6</v>
      </c>
    </row>
    <row r="16" spans="1:16" x14ac:dyDescent="0.3">
      <c r="G16" s="3" t="s">
        <v>60</v>
      </c>
      <c r="H16" s="12">
        <v>16</v>
      </c>
      <c r="K16" s="3" t="s">
        <v>60</v>
      </c>
      <c r="L16" s="2">
        <v>32.625</v>
      </c>
      <c r="O16" s="3" t="s">
        <v>60</v>
      </c>
      <c r="P16" s="2">
        <v>5.2</v>
      </c>
    </row>
    <row r="17" spans="7:16" x14ac:dyDescent="0.3">
      <c r="G17" s="3" t="s">
        <v>61</v>
      </c>
      <c r="H17" s="12">
        <v>20</v>
      </c>
      <c r="K17" s="3" t="s">
        <v>61</v>
      </c>
      <c r="L17" s="2">
        <v>39.200000000000003</v>
      </c>
      <c r="O17" s="3" t="s">
        <v>61</v>
      </c>
      <c r="P17" s="2">
        <v>4.4000000000000004</v>
      </c>
    </row>
    <row r="18" spans="7:16" x14ac:dyDescent="0.3">
      <c r="G18" s="3" t="s">
        <v>62</v>
      </c>
      <c r="H18" s="12">
        <v>25</v>
      </c>
      <c r="K18" s="3" t="s">
        <v>62</v>
      </c>
      <c r="L18" s="2">
        <v>35.28</v>
      </c>
      <c r="O18" s="3" t="s">
        <v>62</v>
      </c>
      <c r="P18" s="2">
        <v>3.4545454545454546</v>
      </c>
    </row>
    <row r="19" spans="7:16" x14ac:dyDescent="0.3">
      <c r="G19" s="3" t="s">
        <v>63</v>
      </c>
      <c r="H19" s="12">
        <v>20</v>
      </c>
      <c r="K19" s="3" t="s">
        <v>63</v>
      </c>
      <c r="L19" s="2">
        <v>32.549999999999997</v>
      </c>
      <c r="O19" s="3" t="s">
        <v>63</v>
      </c>
      <c r="P19" s="2">
        <v>4.4000000000000004</v>
      </c>
    </row>
    <row r="20" spans="7:16" x14ac:dyDescent="0.3">
      <c r="G20" s="3" t="s">
        <v>64</v>
      </c>
      <c r="H20" s="12">
        <v>14</v>
      </c>
      <c r="K20" s="3" t="s">
        <v>64</v>
      </c>
      <c r="L20" s="2">
        <v>35.642857142857146</v>
      </c>
      <c r="O20" s="3" t="s">
        <v>64</v>
      </c>
      <c r="P20" s="2">
        <v>5.833333333333333</v>
      </c>
    </row>
    <row r="21" spans="7:16" x14ac:dyDescent="0.3">
      <c r="G21" s="3" t="s">
        <v>65</v>
      </c>
      <c r="H21" s="12">
        <v>17</v>
      </c>
      <c r="K21" s="3" t="s">
        <v>65</v>
      </c>
      <c r="L21" s="2">
        <v>38.764705882352942</v>
      </c>
      <c r="O21" s="3" t="s">
        <v>65</v>
      </c>
      <c r="P21" s="2">
        <v>4.4444444444444446</v>
      </c>
    </row>
    <row r="22" spans="7:16" x14ac:dyDescent="0.3">
      <c r="G22" s="3" t="s">
        <v>66</v>
      </c>
      <c r="H22" s="12">
        <v>20</v>
      </c>
      <c r="K22" s="3" t="s">
        <v>66</v>
      </c>
      <c r="L22" s="2">
        <v>39.9</v>
      </c>
      <c r="O22" s="3" t="s">
        <v>66</v>
      </c>
      <c r="P22" s="2">
        <v>5.333333333333333</v>
      </c>
    </row>
    <row r="23" spans="7:16" x14ac:dyDescent="0.3">
      <c r="G23" s="3" t="s">
        <v>67</v>
      </c>
      <c r="H23" s="12">
        <v>10</v>
      </c>
      <c r="K23" s="3" t="s">
        <v>67</v>
      </c>
      <c r="L23" s="2">
        <v>41.6</v>
      </c>
      <c r="O23" s="3" t="s">
        <v>67</v>
      </c>
      <c r="P23" s="2">
        <v>5.333333333333333</v>
      </c>
    </row>
    <row r="24" spans="7:16" x14ac:dyDescent="0.3">
      <c r="G24" s="3" t="s">
        <v>68</v>
      </c>
      <c r="H24" s="12">
        <v>17</v>
      </c>
      <c r="K24" s="3" t="s">
        <v>68</v>
      </c>
      <c r="L24" s="2">
        <v>39.470588235294116</v>
      </c>
      <c r="O24" s="3" t="s">
        <v>68</v>
      </c>
      <c r="P24" s="2">
        <v>5.5714285714285712</v>
      </c>
    </row>
    <row r="25" spans="7:16" x14ac:dyDescent="0.3">
      <c r="G25" s="3" t="s">
        <v>69</v>
      </c>
      <c r="H25" s="12">
        <v>15</v>
      </c>
      <c r="K25" s="3" t="s">
        <v>69</v>
      </c>
      <c r="L25" s="2">
        <v>27.733333333333334</v>
      </c>
      <c r="O25" s="3" t="s">
        <v>69</v>
      </c>
      <c r="P25" s="2">
        <v>5</v>
      </c>
    </row>
    <row r="26" spans="7:16" x14ac:dyDescent="0.3">
      <c r="G26" s="3" t="s">
        <v>70</v>
      </c>
      <c r="H26" s="12">
        <v>16</v>
      </c>
      <c r="K26" s="3" t="s">
        <v>70</v>
      </c>
      <c r="L26" s="2">
        <v>36.875</v>
      </c>
      <c r="O26" s="3" t="s">
        <v>70</v>
      </c>
      <c r="P26" s="2">
        <v>6.4</v>
      </c>
    </row>
    <row r="27" spans="7:16" x14ac:dyDescent="0.3">
      <c r="G27" s="3" t="s">
        <v>71</v>
      </c>
      <c r="H27" s="12">
        <v>18</v>
      </c>
      <c r="K27" s="3" t="s">
        <v>71</v>
      </c>
      <c r="L27" s="2">
        <v>40.333333333333336</v>
      </c>
      <c r="O27" s="3" t="s">
        <v>71</v>
      </c>
      <c r="P27" s="2">
        <v>5.333333333333333</v>
      </c>
    </row>
    <row r="28" spans="7:16" x14ac:dyDescent="0.3">
      <c r="G28" s="3" t="s">
        <v>72</v>
      </c>
      <c r="H28" s="12">
        <v>16</v>
      </c>
      <c r="K28" s="3" t="s">
        <v>72</v>
      </c>
      <c r="L28" s="2">
        <v>36.5</v>
      </c>
      <c r="O28" s="3" t="s">
        <v>72</v>
      </c>
      <c r="P28" s="2">
        <v>3.75</v>
      </c>
    </row>
    <row r="29" spans="7:16" x14ac:dyDescent="0.3">
      <c r="G29" s="3" t="s">
        <v>73</v>
      </c>
      <c r="H29" s="12">
        <v>15</v>
      </c>
      <c r="K29" s="3" t="s">
        <v>73</v>
      </c>
      <c r="L29" s="2">
        <v>32.866666666666667</v>
      </c>
      <c r="O29" s="3" t="s">
        <v>73</v>
      </c>
      <c r="P29" s="2">
        <v>6.333333333333333</v>
      </c>
    </row>
    <row r="30" spans="7:16" x14ac:dyDescent="0.3">
      <c r="G30" s="3" t="s">
        <v>74</v>
      </c>
      <c r="H30" s="12">
        <v>14</v>
      </c>
      <c r="K30" s="3" t="s">
        <v>74</v>
      </c>
      <c r="L30" s="2">
        <v>36.642857142857146</v>
      </c>
      <c r="O30" s="3" t="s">
        <v>74</v>
      </c>
      <c r="P30" s="2">
        <v>10</v>
      </c>
    </row>
    <row r="31" spans="7:16" x14ac:dyDescent="0.3">
      <c r="G31" s="3" t="s">
        <v>75</v>
      </c>
      <c r="H31" s="12">
        <v>16</v>
      </c>
      <c r="K31" s="3" t="s">
        <v>75</v>
      </c>
      <c r="L31" s="2">
        <v>36.5625</v>
      </c>
      <c r="O31" s="3" t="s">
        <v>75</v>
      </c>
      <c r="P31" s="2">
        <v>5</v>
      </c>
    </row>
    <row r="32" spans="7:16" x14ac:dyDescent="0.3">
      <c r="G32" s="3" t="s">
        <v>76</v>
      </c>
      <c r="H32" s="12">
        <v>20</v>
      </c>
      <c r="K32" s="3" t="s">
        <v>76</v>
      </c>
      <c r="L32" s="2">
        <v>32.15</v>
      </c>
      <c r="O32" s="3" t="s">
        <v>76</v>
      </c>
      <c r="P32" s="2">
        <v>5.333333333333333</v>
      </c>
    </row>
    <row r="33" spans="1:16" x14ac:dyDescent="0.3">
      <c r="G33" s="3" t="s">
        <v>77</v>
      </c>
      <c r="H33" s="12">
        <v>19</v>
      </c>
      <c r="K33" s="3" t="s">
        <v>77</v>
      </c>
      <c r="L33" s="2">
        <v>38.368421052631582</v>
      </c>
      <c r="O33" s="3" t="s">
        <v>77</v>
      </c>
      <c r="P33" s="2">
        <v>4.8</v>
      </c>
    </row>
    <row r="34" spans="1:16" x14ac:dyDescent="0.3">
      <c r="G34" s="3" t="s">
        <v>78</v>
      </c>
      <c r="H34" s="12">
        <v>14</v>
      </c>
      <c r="K34" s="3" t="s">
        <v>78</v>
      </c>
      <c r="L34" s="2">
        <v>33.071428571428569</v>
      </c>
      <c r="O34" s="3" t="s">
        <v>78</v>
      </c>
      <c r="P34" s="2">
        <v>5</v>
      </c>
    </row>
    <row r="35" spans="1:16" x14ac:dyDescent="0.3">
      <c r="G35" s="3" t="s">
        <v>79</v>
      </c>
      <c r="H35" s="12">
        <v>18</v>
      </c>
      <c r="K35" s="3" t="s">
        <v>79</v>
      </c>
      <c r="L35" s="2">
        <v>36.444444444444443</v>
      </c>
      <c r="O35" s="3" t="s">
        <v>79</v>
      </c>
      <c r="P35" s="2">
        <v>1.4</v>
      </c>
    </row>
    <row r="36" spans="1:16" x14ac:dyDescent="0.3">
      <c r="G36" s="3" t="s">
        <v>4</v>
      </c>
      <c r="H36" s="12">
        <v>513</v>
      </c>
      <c r="K36" s="3" t="s">
        <v>4</v>
      </c>
      <c r="L36" s="2">
        <v>36.323586744639378</v>
      </c>
      <c r="O36" s="3" t="s">
        <v>4</v>
      </c>
      <c r="P36" s="2">
        <v>4.9591836734693882</v>
      </c>
    </row>
    <row r="42" spans="1:16" x14ac:dyDescent="0.3">
      <c r="A42" s="6" t="s">
        <v>6</v>
      </c>
      <c r="B42" t="s">
        <v>12</v>
      </c>
      <c r="C42" t="s">
        <v>16</v>
      </c>
    </row>
    <row r="43" spans="1:16" x14ac:dyDescent="0.3">
      <c r="A43" s="3" t="s">
        <v>14</v>
      </c>
      <c r="B43" s="5">
        <v>269</v>
      </c>
      <c r="C43" s="7">
        <v>0.52436647173489281</v>
      </c>
    </row>
    <row r="44" spans="1:16" x14ac:dyDescent="0.3">
      <c r="A44" s="3" t="s">
        <v>15</v>
      </c>
      <c r="B44" s="5">
        <v>244</v>
      </c>
      <c r="C44" s="7">
        <v>0.47563352826510719</v>
      </c>
    </row>
    <row r="49" spans="1:4" x14ac:dyDescent="0.3">
      <c r="A49" s="8" t="s">
        <v>40</v>
      </c>
      <c r="B49" s="8" t="s">
        <v>41</v>
      </c>
      <c r="C49" s="8" t="s">
        <v>42</v>
      </c>
      <c r="D49" s="8" t="s">
        <v>43</v>
      </c>
    </row>
    <row r="50" spans="1:4" x14ac:dyDescent="0.3">
      <c r="A50" s="9" t="str">
        <f>A44</f>
        <v>Not Admitted</v>
      </c>
      <c r="B50" s="9">
        <f t="shared" ref="B50:C50" si="0">B44</f>
        <v>244</v>
      </c>
      <c r="C50" s="10">
        <f t="shared" si="0"/>
        <v>0.47563352826510719</v>
      </c>
      <c r="D50" s="9"/>
    </row>
    <row r="51" spans="1:4" x14ac:dyDescent="0.3">
      <c r="A51" s="9" t="str">
        <f>A43</f>
        <v>Admitted</v>
      </c>
      <c r="B51" s="9">
        <f>B43</f>
        <v>269</v>
      </c>
      <c r="C51" s="10">
        <f>C43</f>
        <v>0.52436647173489281</v>
      </c>
      <c r="D51" s="9"/>
    </row>
    <row r="56" spans="1:4" x14ac:dyDescent="0.3">
      <c r="A56" t="s">
        <v>44</v>
      </c>
    </row>
    <row r="57" spans="1:4" x14ac:dyDescent="0.3">
      <c r="A57" s="1" t="s">
        <v>6</v>
      </c>
      <c r="B57" t="s">
        <v>17</v>
      </c>
    </row>
    <row r="58" spans="1:4" x14ac:dyDescent="0.3">
      <c r="A58" s="3" t="s">
        <v>18</v>
      </c>
      <c r="B58" s="5">
        <v>76</v>
      </c>
    </row>
    <row r="59" spans="1:4" x14ac:dyDescent="0.3">
      <c r="A59" s="3" t="s">
        <v>19</v>
      </c>
      <c r="B59" s="5">
        <v>69</v>
      </c>
    </row>
    <row r="60" spans="1:4" x14ac:dyDescent="0.3">
      <c r="A60" s="3" t="s">
        <v>20</v>
      </c>
      <c r="B60" s="5">
        <v>64</v>
      </c>
    </row>
    <row r="61" spans="1:4" x14ac:dyDescent="0.3">
      <c r="A61" s="3" t="s">
        <v>21</v>
      </c>
      <c r="B61" s="5">
        <v>59</v>
      </c>
    </row>
    <row r="62" spans="1:4" x14ac:dyDescent="0.3">
      <c r="A62" s="3" t="s">
        <v>22</v>
      </c>
      <c r="B62" s="5">
        <v>58</v>
      </c>
    </row>
    <row r="63" spans="1:4" x14ac:dyDescent="0.3">
      <c r="A63" s="3" t="s">
        <v>23</v>
      </c>
      <c r="B63" s="5">
        <v>66</v>
      </c>
    </row>
    <row r="64" spans="1:4" x14ac:dyDescent="0.3">
      <c r="A64" s="3" t="s">
        <v>24</v>
      </c>
      <c r="B64" s="5">
        <v>67</v>
      </c>
    </row>
    <row r="65" spans="1:2" x14ac:dyDescent="0.3">
      <c r="A65" s="3" t="s">
        <v>25</v>
      </c>
      <c r="B65" s="5">
        <v>54</v>
      </c>
    </row>
    <row r="66" spans="1:2" x14ac:dyDescent="0.3">
      <c r="A66" s="3" t="s">
        <v>4</v>
      </c>
      <c r="B66" s="5">
        <v>513</v>
      </c>
    </row>
    <row r="70" spans="1:2" x14ac:dyDescent="0.3">
      <c r="A70" t="s">
        <v>45</v>
      </c>
    </row>
    <row r="71" spans="1:2" x14ac:dyDescent="0.3">
      <c r="A71" s="1" t="s">
        <v>6</v>
      </c>
      <c r="B71" t="s">
        <v>13</v>
      </c>
    </row>
    <row r="72" spans="1:2" x14ac:dyDescent="0.3">
      <c r="A72" s="3" t="s">
        <v>26</v>
      </c>
      <c r="B72" s="5">
        <v>316</v>
      </c>
    </row>
    <row r="73" spans="1:2" x14ac:dyDescent="0.3">
      <c r="A73" s="3" t="s">
        <v>27</v>
      </c>
      <c r="B73" s="5">
        <v>197</v>
      </c>
    </row>
    <row r="77" spans="1:2" x14ac:dyDescent="0.3">
      <c r="A77" t="s">
        <v>46</v>
      </c>
    </row>
    <row r="78" spans="1:2" x14ac:dyDescent="0.3">
      <c r="A78" s="1" t="s">
        <v>6</v>
      </c>
      <c r="B78" t="s">
        <v>30</v>
      </c>
    </row>
    <row r="79" spans="1:2" x14ac:dyDescent="0.3">
      <c r="A79" s="3" t="s">
        <v>28</v>
      </c>
      <c r="B79" s="5">
        <v>241</v>
      </c>
    </row>
    <row r="80" spans="1:2" x14ac:dyDescent="0.3">
      <c r="A80" s="3" t="s">
        <v>29</v>
      </c>
      <c r="B80" s="5">
        <v>272</v>
      </c>
    </row>
    <row r="85" spans="1:2" x14ac:dyDescent="0.3">
      <c r="A85" t="s">
        <v>47</v>
      </c>
    </row>
    <row r="86" spans="1:2" x14ac:dyDescent="0.3">
      <c r="A86" s="1" t="s">
        <v>6</v>
      </c>
      <c r="B86" t="s">
        <v>39</v>
      </c>
    </row>
    <row r="87" spans="1:2" x14ac:dyDescent="0.3">
      <c r="A87" s="3" t="s">
        <v>32</v>
      </c>
      <c r="B87" s="5">
        <v>4</v>
      </c>
    </row>
    <row r="88" spans="1:2" x14ac:dyDescent="0.3">
      <c r="A88" s="3" t="s">
        <v>38</v>
      </c>
      <c r="B88" s="5">
        <v>5</v>
      </c>
    </row>
    <row r="89" spans="1:2" x14ac:dyDescent="0.3">
      <c r="A89" s="3" t="s">
        <v>34</v>
      </c>
      <c r="B89" s="5">
        <v>9</v>
      </c>
    </row>
    <row r="90" spans="1:2" x14ac:dyDescent="0.3">
      <c r="A90" s="3" t="s">
        <v>37</v>
      </c>
      <c r="B90" s="5">
        <v>14</v>
      </c>
    </row>
    <row r="91" spans="1:2" x14ac:dyDescent="0.3">
      <c r="A91" s="3" t="s">
        <v>31</v>
      </c>
      <c r="B91" s="5">
        <v>14</v>
      </c>
    </row>
    <row r="92" spans="1:2" x14ac:dyDescent="0.3">
      <c r="A92" s="3" t="s">
        <v>36</v>
      </c>
      <c r="B92" s="5">
        <v>65</v>
      </c>
    </row>
    <row r="93" spans="1:2" x14ac:dyDescent="0.3">
      <c r="A93" s="3" t="s">
        <v>33</v>
      </c>
      <c r="B93" s="5">
        <v>103</v>
      </c>
    </row>
    <row r="94" spans="1:2" x14ac:dyDescent="0.3">
      <c r="A94" s="3" t="s">
        <v>35</v>
      </c>
      <c r="B94" s="5">
        <v>299</v>
      </c>
    </row>
    <row r="99" spans="1:1" x14ac:dyDescent="0.3">
      <c r="A99" t="s">
        <v>48</v>
      </c>
    </row>
    <row r="100" spans="1:1" x14ac:dyDescent="0.3">
      <c r="A100" s="1" t="s">
        <v>6</v>
      </c>
    </row>
    <row r="101" spans="1:1" x14ac:dyDescent="0.3">
      <c r="A101" s="3" t="s">
        <v>5</v>
      </c>
    </row>
  </sheetData>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166E2-E1C8-4DEA-9151-79A7EB965F47}">
  <sheetPr>
    <tabColor rgb="FF00FF00"/>
  </sheetPr>
  <dimension ref="A1:Z50"/>
  <sheetViews>
    <sheetView tabSelected="1" zoomScaleNormal="100" workbookViewId="0">
      <selection activeCell="U16" sqref="U16"/>
    </sheetView>
  </sheetViews>
  <sheetFormatPr defaultRowHeight="14.4" x14ac:dyDescent="0.3"/>
  <sheetData>
    <row r="1" spans="1:26" x14ac:dyDescent="0.3">
      <c r="A1" s="11"/>
      <c r="B1" s="11"/>
      <c r="C1" s="11"/>
      <c r="D1" s="11"/>
      <c r="E1" s="11"/>
      <c r="F1" s="11"/>
      <c r="G1" s="11"/>
      <c r="H1" s="11"/>
      <c r="I1" s="11"/>
      <c r="J1" s="11"/>
      <c r="K1" s="11"/>
      <c r="L1" s="11"/>
      <c r="M1" s="11"/>
      <c r="N1" s="11"/>
      <c r="O1" s="11"/>
      <c r="P1" s="11"/>
      <c r="Q1" s="11"/>
      <c r="R1" s="11"/>
      <c r="S1" s="11"/>
      <c r="T1" s="11"/>
      <c r="U1" s="11"/>
      <c r="V1" s="11"/>
      <c r="W1" s="11"/>
      <c r="X1" s="11"/>
      <c r="Y1" s="11"/>
      <c r="Z1" s="11"/>
    </row>
    <row r="2" spans="1:26" x14ac:dyDescent="0.3">
      <c r="A2" s="11"/>
      <c r="B2" s="11"/>
      <c r="C2" s="11"/>
      <c r="D2" s="11"/>
      <c r="E2" s="11"/>
      <c r="F2" s="11"/>
      <c r="G2" s="11"/>
      <c r="H2" s="11"/>
      <c r="I2" s="11"/>
      <c r="J2" s="11"/>
      <c r="K2" s="11"/>
      <c r="L2" s="11"/>
      <c r="M2" s="11"/>
      <c r="N2" s="11"/>
      <c r="O2" s="11"/>
      <c r="P2" s="11"/>
      <c r="Q2" s="11"/>
      <c r="R2" s="11"/>
      <c r="S2" s="11"/>
      <c r="T2" s="11"/>
      <c r="U2" s="11"/>
      <c r="V2" s="11"/>
      <c r="W2" s="11"/>
      <c r="X2" s="11"/>
      <c r="Y2" s="11"/>
      <c r="Z2" s="11"/>
    </row>
    <row r="3" spans="1:26" x14ac:dyDescent="0.3">
      <c r="A3" s="11"/>
      <c r="B3" s="11"/>
      <c r="C3" s="11"/>
      <c r="D3" s="11"/>
      <c r="E3" s="11"/>
      <c r="F3" s="11"/>
      <c r="G3" s="11"/>
      <c r="H3" s="11"/>
      <c r="I3" s="11"/>
      <c r="J3" s="11"/>
      <c r="K3" s="11"/>
      <c r="L3" s="11"/>
      <c r="M3" s="11"/>
      <c r="N3" s="11"/>
      <c r="O3" s="11"/>
      <c r="P3" s="11"/>
      <c r="Q3" s="11"/>
      <c r="R3" s="11"/>
      <c r="S3" s="11"/>
      <c r="T3" s="11"/>
      <c r="U3" s="11"/>
      <c r="V3" s="11"/>
      <c r="W3" s="11"/>
      <c r="X3" s="11"/>
      <c r="Y3" s="11"/>
      <c r="Z3" s="11"/>
    </row>
    <row r="4" spans="1:26" x14ac:dyDescent="0.3">
      <c r="A4" s="11"/>
      <c r="B4" s="11"/>
      <c r="C4" s="11"/>
      <c r="D4" s="11"/>
      <c r="E4" s="11"/>
      <c r="F4" s="11"/>
      <c r="G4" s="11"/>
      <c r="H4" s="11"/>
      <c r="I4" s="11"/>
      <c r="J4" s="11"/>
      <c r="K4" s="11"/>
      <c r="L4" s="11"/>
      <c r="M4" s="11"/>
      <c r="N4" s="11"/>
      <c r="O4" s="11"/>
      <c r="P4" s="11"/>
      <c r="Q4" s="11"/>
      <c r="R4" s="11"/>
      <c r="S4" s="11"/>
      <c r="T4" s="11"/>
      <c r="U4" s="11"/>
      <c r="V4" s="11"/>
      <c r="W4" s="11"/>
      <c r="X4" s="11"/>
      <c r="Y4" s="11"/>
      <c r="Z4" s="11"/>
    </row>
    <row r="5" spans="1:26" x14ac:dyDescent="0.3">
      <c r="A5" s="11"/>
      <c r="B5" s="11"/>
      <c r="C5" s="11"/>
      <c r="D5" s="11"/>
      <c r="E5" s="11"/>
      <c r="F5" s="11"/>
      <c r="G5" s="11"/>
      <c r="H5" s="11"/>
      <c r="I5" s="11"/>
      <c r="J5" s="11"/>
      <c r="K5" s="11"/>
      <c r="L5" s="11"/>
      <c r="M5" s="11"/>
      <c r="N5" s="11"/>
      <c r="O5" s="11"/>
      <c r="P5" s="11"/>
      <c r="Q5" s="11"/>
      <c r="R5" s="11"/>
      <c r="S5" s="11"/>
      <c r="T5" s="11"/>
      <c r="U5" s="11"/>
      <c r="V5" s="11"/>
      <c r="W5" s="11"/>
      <c r="X5" s="11"/>
      <c r="Y5" s="11"/>
      <c r="Z5" s="11"/>
    </row>
    <row r="6" spans="1:26" x14ac:dyDescent="0.3">
      <c r="A6" s="11"/>
      <c r="B6" s="11"/>
      <c r="C6" s="11"/>
      <c r="D6" s="11"/>
      <c r="E6" s="11"/>
      <c r="F6" s="11"/>
      <c r="G6" s="11"/>
      <c r="H6" s="11"/>
      <c r="I6" s="11"/>
      <c r="J6" s="11"/>
      <c r="K6" s="11"/>
      <c r="L6" s="11"/>
      <c r="M6" s="11"/>
      <c r="N6" s="11"/>
      <c r="O6" s="11"/>
      <c r="P6" s="11"/>
      <c r="Q6" s="11"/>
      <c r="R6" s="11"/>
      <c r="S6" s="11"/>
      <c r="T6" s="11"/>
      <c r="U6" s="11"/>
      <c r="V6" s="11"/>
      <c r="W6" s="11"/>
      <c r="X6" s="11"/>
      <c r="Y6" s="11"/>
      <c r="Z6" s="11"/>
    </row>
    <row r="7" spans="1:26" x14ac:dyDescent="0.3">
      <c r="A7" s="11"/>
      <c r="B7" s="11"/>
      <c r="C7" s="11"/>
      <c r="D7" s="11"/>
      <c r="E7" s="11"/>
      <c r="F7" s="11"/>
      <c r="G7" s="11"/>
      <c r="H7" s="11"/>
      <c r="I7" s="11"/>
      <c r="J7" s="11"/>
      <c r="K7" s="11"/>
      <c r="L7" s="11"/>
      <c r="M7" s="11"/>
      <c r="N7" s="11"/>
      <c r="O7" s="11"/>
      <c r="P7" s="11"/>
      <c r="Q7" s="11"/>
      <c r="R7" s="11"/>
      <c r="S7" s="11"/>
      <c r="T7" s="11"/>
      <c r="U7" s="11"/>
      <c r="V7" s="11"/>
      <c r="W7" s="11"/>
      <c r="X7" s="11"/>
      <c r="Y7" s="11"/>
      <c r="Z7" s="11"/>
    </row>
    <row r="8" spans="1:26" x14ac:dyDescent="0.3">
      <c r="A8" s="11"/>
      <c r="B8" s="11"/>
      <c r="C8" s="11"/>
      <c r="D8" s="11"/>
      <c r="E8" s="11"/>
      <c r="F8" s="11"/>
      <c r="G8" s="11"/>
      <c r="H8" s="11"/>
      <c r="I8" s="11"/>
      <c r="J8" s="11"/>
      <c r="K8" s="11"/>
      <c r="L8" s="11"/>
      <c r="M8" s="11"/>
      <c r="N8" s="11"/>
      <c r="O8" s="11"/>
      <c r="P8" s="11"/>
      <c r="Q8" s="11"/>
      <c r="R8" s="11"/>
      <c r="S8" s="11"/>
      <c r="T8" s="11"/>
      <c r="U8" s="11"/>
      <c r="V8" s="11"/>
      <c r="W8" s="11"/>
      <c r="X8" s="11"/>
      <c r="Y8" s="11"/>
      <c r="Z8" s="11"/>
    </row>
    <row r="9" spans="1:26" x14ac:dyDescent="0.3">
      <c r="A9" s="11"/>
      <c r="B9" s="11"/>
      <c r="C9" s="11"/>
      <c r="D9" s="11"/>
      <c r="E9" s="11"/>
      <c r="F9" s="11"/>
      <c r="G9" s="11"/>
      <c r="H9" s="11"/>
      <c r="I9" s="11"/>
      <c r="J9" s="11"/>
      <c r="K9" s="11"/>
      <c r="L9" s="11"/>
      <c r="M9" s="11"/>
      <c r="N9" s="11"/>
      <c r="O9" s="11"/>
      <c r="P9" s="11"/>
      <c r="Q9" s="11"/>
      <c r="R9" s="11"/>
      <c r="S9" s="11"/>
      <c r="T9" s="11"/>
      <c r="U9" s="11"/>
      <c r="V9" s="11"/>
      <c r="W9" s="11"/>
      <c r="X9" s="11"/>
      <c r="Y9" s="11"/>
      <c r="Z9" s="11"/>
    </row>
    <row r="10" spans="1:26"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row>
    <row r="11" spans="1:26"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row>
    <row r="12" spans="1:26"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row>
    <row r="13" spans="1:26"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row>
    <row r="14" spans="1:26"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row>
    <row r="15" spans="1:26"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row>
    <row r="16" spans="1:26"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row>
    <row r="17" spans="1:26"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1:26"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row>
    <row r="19" spans="1:26"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1:26"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1:26"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1:26"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1:26"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1:26"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1:26"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1:26"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1:26"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1:26"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1:26"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1:26"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1:26"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1:26"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1:26"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1:26"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1:26"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1:26"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1:26"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1:26"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row>
    <row r="47" spans="1:26"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row>
    <row r="48" spans="1:26"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row>
    <row r="49" spans="1:26"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row>
    <row r="50" spans="1:26"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39BA9-909E-4258-AC51-49504CBFC9C5}">
  <dimension ref="A1:Z50"/>
  <sheetViews>
    <sheetView workbookViewId="0"/>
  </sheetViews>
  <sheetFormatPr defaultRowHeight="14.4" x14ac:dyDescent="0.3"/>
  <sheetData>
    <row r="1" spans="1:26" x14ac:dyDescent="0.3">
      <c r="A1" s="4"/>
      <c r="B1" s="4"/>
      <c r="C1" s="4"/>
      <c r="D1" s="4"/>
      <c r="E1" s="4"/>
      <c r="F1" s="4"/>
      <c r="G1" s="4"/>
      <c r="H1" s="4"/>
      <c r="I1" s="4"/>
      <c r="J1" s="4"/>
      <c r="K1" s="4"/>
      <c r="L1" s="4"/>
      <c r="M1" s="4"/>
      <c r="N1" s="4"/>
      <c r="O1" s="4"/>
      <c r="P1" s="4"/>
      <c r="Q1" s="4"/>
      <c r="R1" s="4"/>
      <c r="S1" s="4"/>
      <c r="T1" s="4"/>
      <c r="U1" s="4"/>
      <c r="V1" s="4"/>
      <c r="W1" s="4"/>
      <c r="X1" s="4"/>
      <c r="Y1" s="4"/>
      <c r="Z1" s="4"/>
    </row>
    <row r="2" spans="1:26" x14ac:dyDescent="0.3">
      <c r="A2" s="4"/>
      <c r="B2" s="4"/>
      <c r="C2" s="4"/>
      <c r="D2" s="4"/>
      <c r="E2" s="4"/>
      <c r="F2" s="4"/>
      <c r="G2" s="4"/>
      <c r="H2" s="4"/>
      <c r="I2" s="4"/>
      <c r="J2" s="4"/>
      <c r="K2" s="4"/>
      <c r="L2" s="4"/>
      <c r="M2" s="4"/>
      <c r="N2" s="4"/>
      <c r="O2" s="4"/>
      <c r="P2" s="4"/>
      <c r="Q2" s="4"/>
      <c r="R2" s="4"/>
      <c r="S2" s="4"/>
      <c r="T2" s="4"/>
      <c r="U2" s="4"/>
      <c r="V2" s="4"/>
      <c r="W2" s="4"/>
      <c r="X2" s="4"/>
      <c r="Y2" s="4"/>
      <c r="Z2" s="4"/>
    </row>
    <row r="3" spans="1:26" x14ac:dyDescent="0.3">
      <c r="A3" s="4"/>
      <c r="B3" s="4"/>
      <c r="C3" s="4"/>
      <c r="D3" s="4"/>
      <c r="E3" s="4"/>
      <c r="F3" s="4"/>
      <c r="G3" s="4"/>
      <c r="H3" s="4"/>
      <c r="I3" s="4"/>
      <c r="J3" s="4"/>
      <c r="K3" s="4"/>
      <c r="L3" s="4"/>
      <c r="M3" s="4"/>
      <c r="N3" s="4"/>
      <c r="O3" s="4"/>
      <c r="P3" s="4"/>
      <c r="Q3" s="4"/>
      <c r="R3" s="4"/>
      <c r="S3" s="4"/>
      <c r="T3" s="4"/>
      <c r="U3" s="4"/>
      <c r="V3" s="4"/>
      <c r="W3" s="4"/>
      <c r="X3" s="4"/>
      <c r="Y3" s="4"/>
      <c r="Z3" s="4"/>
    </row>
    <row r="4" spans="1:26" x14ac:dyDescent="0.3">
      <c r="A4" s="4"/>
      <c r="B4" s="4"/>
      <c r="C4" s="4"/>
      <c r="D4" s="4"/>
      <c r="E4" s="4"/>
      <c r="F4" s="4"/>
      <c r="G4" s="4"/>
      <c r="H4" s="4"/>
      <c r="I4" s="4"/>
      <c r="J4" s="4"/>
      <c r="K4" s="4"/>
      <c r="L4" s="4"/>
      <c r="M4" s="4"/>
      <c r="N4" s="4"/>
      <c r="O4" s="4"/>
      <c r="P4" s="4"/>
      <c r="Q4" s="4"/>
      <c r="R4" s="4"/>
      <c r="S4" s="4"/>
      <c r="T4" s="4"/>
      <c r="U4" s="4"/>
      <c r="V4" s="4"/>
      <c r="W4" s="4"/>
      <c r="X4" s="4"/>
      <c r="Y4" s="4"/>
      <c r="Z4" s="4"/>
    </row>
    <row r="5" spans="1:26" x14ac:dyDescent="0.3">
      <c r="A5" s="4"/>
      <c r="B5" s="4"/>
      <c r="C5" s="4"/>
      <c r="D5" s="4"/>
      <c r="E5" s="4"/>
      <c r="F5" s="4"/>
      <c r="G5" s="4"/>
      <c r="H5" s="4"/>
      <c r="I5" s="4"/>
      <c r="J5" s="4"/>
      <c r="K5" s="4"/>
      <c r="L5" s="4"/>
      <c r="M5" s="4"/>
      <c r="N5" s="4"/>
      <c r="O5" s="4"/>
      <c r="P5" s="4"/>
      <c r="Q5" s="4"/>
      <c r="R5" s="4"/>
      <c r="S5" s="4"/>
      <c r="T5" s="4"/>
      <c r="U5" s="4"/>
      <c r="V5" s="4"/>
      <c r="W5" s="4"/>
      <c r="X5" s="4"/>
      <c r="Y5" s="4"/>
      <c r="Z5" s="4"/>
    </row>
    <row r="6" spans="1:26" x14ac:dyDescent="0.3">
      <c r="A6" s="4"/>
      <c r="B6" s="4"/>
      <c r="C6" s="4"/>
      <c r="D6" s="4"/>
      <c r="E6" s="4"/>
      <c r="F6" s="4"/>
      <c r="G6" s="4"/>
      <c r="H6" s="4"/>
      <c r="I6" s="4"/>
      <c r="J6" s="4"/>
      <c r="K6" s="4"/>
      <c r="L6" s="4"/>
      <c r="M6" s="4"/>
      <c r="N6" s="4"/>
      <c r="O6" s="4"/>
      <c r="P6" s="4"/>
      <c r="Q6" s="4"/>
      <c r="R6" s="4"/>
      <c r="S6" s="4"/>
      <c r="T6" s="4"/>
      <c r="U6" s="4"/>
      <c r="V6" s="4"/>
      <c r="W6" s="4"/>
      <c r="X6" s="4"/>
      <c r="Y6" s="4"/>
      <c r="Z6" s="4"/>
    </row>
    <row r="7" spans="1:26" x14ac:dyDescent="0.3">
      <c r="A7" s="4"/>
      <c r="B7" s="4"/>
      <c r="C7" s="4"/>
      <c r="D7" s="4"/>
      <c r="E7" s="4"/>
      <c r="F7" s="4"/>
      <c r="G7" s="4"/>
      <c r="H7" s="4"/>
      <c r="I7" s="4"/>
      <c r="J7" s="4"/>
      <c r="K7" s="4"/>
      <c r="L7" s="4"/>
      <c r="M7" s="4"/>
      <c r="N7" s="4"/>
      <c r="O7" s="4"/>
      <c r="P7" s="4"/>
      <c r="Q7" s="4"/>
      <c r="R7" s="4"/>
      <c r="S7" s="4"/>
      <c r="T7" s="4"/>
      <c r="U7" s="4"/>
      <c r="V7" s="4"/>
      <c r="W7" s="4"/>
      <c r="X7" s="4"/>
      <c r="Y7" s="4"/>
      <c r="Z7" s="4"/>
    </row>
    <row r="8" spans="1:26" x14ac:dyDescent="0.3">
      <c r="A8" s="4"/>
      <c r="B8" s="4"/>
      <c r="C8" s="4"/>
      <c r="D8" s="4"/>
      <c r="E8" s="4"/>
      <c r="F8" s="4"/>
      <c r="G8" s="4"/>
      <c r="H8" s="4"/>
      <c r="I8" s="4"/>
      <c r="J8" s="4"/>
      <c r="K8" s="4"/>
      <c r="L8" s="4"/>
      <c r="M8" s="4"/>
      <c r="N8" s="4"/>
      <c r="O8" s="4"/>
      <c r="P8" s="4"/>
      <c r="Q8" s="4"/>
      <c r="R8" s="4"/>
      <c r="S8" s="4"/>
      <c r="T8" s="4"/>
      <c r="U8" s="4"/>
      <c r="V8" s="4"/>
      <c r="W8" s="4"/>
      <c r="X8" s="4"/>
      <c r="Y8" s="4"/>
      <c r="Z8" s="4"/>
    </row>
    <row r="9" spans="1:26" x14ac:dyDescent="0.3">
      <c r="A9" s="4"/>
      <c r="B9" s="4"/>
      <c r="C9" s="4"/>
      <c r="D9" s="4"/>
      <c r="E9" s="4"/>
      <c r="F9" s="4"/>
      <c r="G9" s="4"/>
      <c r="H9" s="4"/>
      <c r="I9" s="4"/>
      <c r="J9" s="4"/>
      <c r="K9" s="4"/>
      <c r="L9" s="4"/>
      <c r="M9" s="4"/>
      <c r="N9" s="4"/>
      <c r="O9" s="4"/>
      <c r="P9" s="4"/>
      <c r="Q9" s="4"/>
      <c r="R9" s="4"/>
      <c r="S9" s="4"/>
      <c r="T9" s="4"/>
      <c r="U9" s="4"/>
      <c r="V9" s="4"/>
      <c r="W9" s="4"/>
      <c r="X9" s="4"/>
      <c r="Y9" s="4"/>
      <c r="Z9" s="4"/>
    </row>
    <row r="10" spans="1:26" x14ac:dyDescent="0.3">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x14ac:dyDescent="0.3">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x14ac:dyDescent="0.3">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x14ac:dyDescent="0.3">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x14ac:dyDescent="0.3">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x14ac:dyDescent="0.3">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x14ac:dyDescent="0.3">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x14ac:dyDescent="0.3">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x14ac:dyDescent="0.3">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x14ac:dyDescent="0.3">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x14ac:dyDescent="0.3">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x14ac:dyDescent="0.3">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x14ac:dyDescent="0.3">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x14ac:dyDescent="0.3">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x14ac:dyDescent="0.3">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x14ac:dyDescent="0.3">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x14ac:dyDescent="0.3">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x14ac:dyDescent="0.3">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x14ac:dyDescent="0.3">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x14ac:dyDescent="0.3">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x14ac:dyDescent="0.3">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x14ac:dyDescent="0.3">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x14ac:dyDescent="0.3">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x14ac:dyDescent="0.3">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3">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3">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3">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3">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3">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3">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3">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3">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3">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3">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3">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3">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3">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3">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3">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3">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3">
      <c r="A50" s="4"/>
      <c r="B50" s="4"/>
      <c r="C50" s="4"/>
      <c r="D50" s="4"/>
      <c r="E50" s="4"/>
      <c r="F50" s="4"/>
      <c r="G50" s="4"/>
      <c r="H50" s="4"/>
      <c r="I50" s="4"/>
      <c r="J50" s="4"/>
      <c r="K50" s="4"/>
      <c r="L50" s="4"/>
      <c r="M50" s="4"/>
      <c r="N50" s="4"/>
      <c r="O50" s="4"/>
      <c r="P50" s="4"/>
      <c r="Q50" s="4"/>
      <c r="R50" s="4"/>
      <c r="S50" s="4"/>
      <c r="T50" s="4"/>
      <c r="U50" s="4"/>
      <c r="V50" s="4"/>
      <c r="W50" s="4"/>
      <c r="X50" s="4"/>
      <c r="Y50" s="4"/>
      <c r="Z50" s="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ACAEA-D20A-452A-9023-10C2D6ED4DEE}">
  <dimension ref="A1:Z50"/>
  <sheetViews>
    <sheetView workbookViewId="0"/>
  </sheetViews>
  <sheetFormatPr defaultRowHeight="14.4" x14ac:dyDescent="0.3"/>
  <sheetData>
    <row r="1" spans="1:26" x14ac:dyDescent="0.3">
      <c r="A1" s="4"/>
      <c r="B1" s="4"/>
      <c r="C1" s="4"/>
      <c r="D1" s="4"/>
      <c r="E1" s="4"/>
      <c r="F1" s="4"/>
      <c r="G1" s="4"/>
      <c r="H1" s="4"/>
      <c r="I1" s="4"/>
      <c r="J1" s="4"/>
      <c r="K1" s="4"/>
      <c r="L1" s="4"/>
      <c r="M1" s="4"/>
      <c r="N1" s="4"/>
      <c r="O1" s="4"/>
      <c r="P1" s="4"/>
      <c r="Q1" s="4"/>
      <c r="R1" s="4"/>
      <c r="S1" s="4"/>
      <c r="T1" s="4"/>
      <c r="U1" s="4"/>
      <c r="V1" s="4"/>
      <c r="W1" s="4"/>
      <c r="X1" s="4"/>
      <c r="Y1" s="4"/>
      <c r="Z1" s="4"/>
    </row>
    <row r="2" spans="1:26" x14ac:dyDescent="0.3">
      <c r="A2" s="4"/>
      <c r="B2" s="4"/>
      <c r="C2" s="4"/>
      <c r="D2" s="4"/>
      <c r="E2" s="4"/>
      <c r="F2" s="4"/>
      <c r="G2" s="4"/>
      <c r="H2" s="4"/>
      <c r="I2" s="4"/>
      <c r="J2" s="4"/>
      <c r="K2" s="4"/>
      <c r="L2" s="4"/>
      <c r="M2" s="4"/>
      <c r="N2" s="4"/>
      <c r="O2" s="4"/>
      <c r="P2" s="4"/>
      <c r="Q2" s="4"/>
      <c r="R2" s="4"/>
      <c r="S2" s="4"/>
      <c r="T2" s="4"/>
      <c r="U2" s="4"/>
      <c r="V2" s="4"/>
      <c r="W2" s="4"/>
      <c r="X2" s="4"/>
      <c r="Y2" s="4"/>
      <c r="Z2" s="4"/>
    </row>
    <row r="3" spans="1:26" x14ac:dyDescent="0.3">
      <c r="A3" s="4"/>
      <c r="B3" s="4"/>
      <c r="C3" s="4"/>
      <c r="D3" s="4"/>
      <c r="E3" s="4"/>
      <c r="F3" s="4"/>
      <c r="G3" s="4"/>
      <c r="H3" s="4"/>
      <c r="I3" s="4"/>
      <c r="J3" s="4"/>
      <c r="K3" s="4"/>
      <c r="L3" s="4"/>
      <c r="M3" s="4"/>
      <c r="N3" s="4"/>
      <c r="O3" s="4"/>
      <c r="P3" s="4"/>
      <c r="Q3" s="4"/>
      <c r="R3" s="4"/>
      <c r="S3" s="4"/>
      <c r="T3" s="4"/>
      <c r="U3" s="4"/>
      <c r="V3" s="4"/>
      <c r="W3" s="4"/>
      <c r="X3" s="4"/>
      <c r="Y3" s="4"/>
      <c r="Z3" s="4"/>
    </row>
    <row r="4" spans="1:26" x14ac:dyDescent="0.3">
      <c r="A4" s="4"/>
      <c r="B4" s="4"/>
      <c r="C4" s="4"/>
      <c r="D4" s="4"/>
      <c r="E4" s="4"/>
      <c r="F4" s="4"/>
      <c r="G4" s="4"/>
      <c r="H4" s="4"/>
      <c r="I4" s="4"/>
      <c r="J4" s="4"/>
      <c r="K4" s="4"/>
      <c r="L4" s="4"/>
      <c r="M4" s="4"/>
      <c r="N4" s="4"/>
      <c r="O4" s="4"/>
      <c r="P4" s="4"/>
      <c r="Q4" s="4"/>
      <c r="R4" s="4"/>
      <c r="S4" s="4"/>
      <c r="T4" s="4"/>
      <c r="U4" s="4"/>
      <c r="V4" s="4"/>
      <c r="W4" s="4"/>
      <c r="X4" s="4"/>
      <c r="Y4" s="4"/>
      <c r="Z4" s="4"/>
    </row>
    <row r="5" spans="1:26" x14ac:dyDescent="0.3">
      <c r="A5" s="4"/>
      <c r="B5" s="4"/>
      <c r="C5" s="4"/>
      <c r="D5" s="4"/>
      <c r="E5" s="4"/>
      <c r="F5" s="4"/>
      <c r="G5" s="4"/>
      <c r="H5" s="4"/>
      <c r="I5" s="4"/>
      <c r="J5" s="4"/>
      <c r="K5" s="4"/>
      <c r="L5" s="4"/>
      <c r="M5" s="4"/>
      <c r="N5" s="4"/>
      <c r="O5" s="4"/>
      <c r="P5" s="4"/>
      <c r="Q5" s="4"/>
      <c r="R5" s="4"/>
      <c r="S5" s="4"/>
      <c r="T5" s="4"/>
      <c r="U5" s="4"/>
      <c r="V5" s="4"/>
      <c r="W5" s="4"/>
      <c r="X5" s="4"/>
      <c r="Y5" s="4"/>
      <c r="Z5" s="4"/>
    </row>
    <row r="6" spans="1:26" x14ac:dyDescent="0.3">
      <c r="A6" s="4"/>
      <c r="B6" s="4"/>
      <c r="C6" s="4"/>
      <c r="D6" s="4"/>
      <c r="E6" s="4"/>
      <c r="F6" s="4"/>
      <c r="G6" s="4"/>
      <c r="H6" s="4"/>
      <c r="I6" s="4"/>
      <c r="J6" s="4"/>
      <c r="K6" s="4"/>
      <c r="L6" s="4"/>
      <c r="M6" s="4"/>
      <c r="N6" s="4"/>
      <c r="O6" s="4"/>
      <c r="P6" s="4"/>
      <c r="Q6" s="4"/>
      <c r="R6" s="4"/>
      <c r="S6" s="4"/>
      <c r="T6" s="4"/>
      <c r="U6" s="4"/>
      <c r="V6" s="4"/>
      <c r="W6" s="4"/>
      <c r="X6" s="4"/>
      <c r="Y6" s="4"/>
      <c r="Z6" s="4"/>
    </row>
    <row r="7" spans="1:26" x14ac:dyDescent="0.3">
      <c r="A7" s="4"/>
      <c r="B7" s="4"/>
      <c r="C7" s="4"/>
      <c r="D7" s="4"/>
      <c r="E7" s="4"/>
      <c r="F7" s="4"/>
      <c r="G7" s="4"/>
      <c r="H7" s="4"/>
      <c r="I7" s="4"/>
      <c r="J7" s="4"/>
      <c r="K7" s="4"/>
      <c r="L7" s="4"/>
      <c r="M7" s="4"/>
      <c r="N7" s="4"/>
      <c r="O7" s="4"/>
      <c r="P7" s="4"/>
      <c r="Q7" s="4"/>
      <c r="R7" s="4"/>
      <c r="S7" s="4"/>
      <c r="T7" s="4"/>
      <c r="U7" s="4"/>
      <c r="V7" s="4"/>
      <c r="W7" s="4"/>
      <c r="X7" s="4"/>
      <c r="Y7" s="4"/>
      <c r="Z7" s="4"/>
    </row>
    <row r="8" spans="1:26" x14ac:dyDescent="0.3">
      <c r="A8" s="4"/>
      <c r="B8" s="4"/>
      <c r="C8" s="4"/>
      <c r="D8" s="4"/>
      <c r="E8" s="4"/>
      <c r="F8" s="4"/>
      <c r="G8" s="4"/>
      <c r="H8" s="4"/>
      <c r="I8" s="4"/>
      <c r="J8" s="4"/>
      <c r="K8" s="4"/>
      <c r="L8" s="4"/>
      <c r="M8" s="4"/>
      <c r="N8" s="4"/>
      <c r="O8" s="4"/>
      <c r="P8" s="4"/>
      <c r="Q8" s="4"/>
      <c r="R8" s="4"/>
      <c r="S8" s="4"/>
      <c r="T8" s="4"/>
      <c r="U8" s="4"/>
      <c r="V8" s="4"/>
      <c r="W8" s="4"/>
      <c r="X8" s="4"/>
      <c r="Y8" s="4"/>
      <c r="Z8" s="4"/>
    </row>
    <row r="9" spans="1:26" x14ac:dyDescent="0.3">
      <c r="A9" s="4"/>
      <c r="B9" s="4"/>
      <c r="C9" s="4"/>
      <c r="D9" s="4"/>
      <c r="E9" s="4"/>
      <c r="F9" s="4"/>
      <c r="G9" s="4"/>
      <c r="H9" s="4"/>
      <c r="I9" s="4"/>
      <c r="J9" s="4"/>
      <c r="K9" s="4"/>
      <c r="L9" s="4"/>
      <c r="M9" s="4"/>
      <c r="N9" s="4"/>
      <c r="O9" s="4"/>
      <c r="P9" s="4"/>
      <c r="Q9" s="4"/>
      <c r="R9" s="4"/>
      <c r="S9" s="4"/>
      <c r="T9" s="4"/>
      <c r="U9" s="4"/>
      <c r="V9" s="4"/>
      <c r="W9" s="4"/>
      <c r="X9" s="4"/>
      <c r="Y9" s="4"/>
      <c r="Z9" s="4"/>
    </row>
    <row r="10" spans="1:26" x14ac:dyDescent="0.3">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x14ac:dyDescent="0.3">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x14ac:dyDescent="0.3">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x14ac:dyDescent="0.3">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x14ac:dyDescent="0.3">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x14ac:dyDescent="0.3">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x14ac:dyDescent="0.3">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x14ac:dyDescent="0.3">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x14ac:dyDescent="0.3">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x14ac:dyDescent="0.3">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x14ac:dyDescent="0.3">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x14ac:dyDescent="0.3">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x14ac:dyDescent="0.3">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x14ac:dyDescent="0.3">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x14ac:dyDescent="0.3">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x14ac:dyDescent="0.3">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x14ac:dyDescent="0.3">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x14ac:dyDescent="0.3">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x14ac:dyDescent="0.3">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x14ac:dyDescent="0.3">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x14ac:dyDescent="0.3">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x14ac:dyDescent="0.3">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x14ac:dyDescent="0.3">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x14ac:dyDescent="0.3">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3">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3">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3">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3">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3">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3">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3">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3">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3">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3">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3">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3">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3">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3">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3">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3">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3">
      <c r="A50" s="4"/>
      <c r="B50" s="4"/>
      <c r="C50" s="4"/>
      <c r="D50" s="4"/>
      <c r="E50" s="4"/>
      <c r="F50" s="4"/>
      <c r="G50" s="4"/>
      <c r="H50" s="4"/>
      <c r="I50" s="4"/>
      <c r="J50" s="4"/>
      <c r="K50" s="4"/>
      <c r="L50" s="4"/>
      <c r="M50" s="4"/>
      <c r="N50" s="4"/>
      <c r="O50" s="4"/>
      <c r="P50" s="4"/>
      <c r="Q50" s="4"/>
      <c r="R50" s="4"/>
      <c r="S50" s="4"/>
      <c r="T50" s="4"/>
      <c r="U50" s="4"/>
      <c r="V50" s="4"/>
      <c r="W50" s="4"/>
      <c r="X50" s="4"/>
      <c r="Y50" s="4"/>
      <c r="Z50" s="4"/>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AB541-D651-4EED-91E7-3EB876E86EBB}">
  <dimension ref="A1:Z50"/>
  <sheetViews>
    <sheetView workbookViewId="0"/>
  </sheetViews>
  <sheetFormatPr defaultRowHeight="14.4" x14ac:dyDescent="0.3"/>
  <sheetData>
    <row r="1" spans="1:26" x14ac:dyDescent="0.3">
      <c r="A1" s="4"/>
      <c r="B1" s="4"/>
      <c r="C1" s="4"/>
      <c r="D1" s="4"/>
      <c r="E1" s="4"/>
      <c r="F1" s="4"/>
      <c r="G1" s="4"/>
      <c r="H1" s="4"/>
      <c r="I1" s="4"/>
      <c r="J1" s="4"/>
      <c r="K1" s="4"/>
      <c r="L1" s="4"/>
      <c r="M1" s="4"/>
      <c r="N1" s="4"/>
      <c r="O1" s="4"/>
      <c r="P1" s="4"/>
      <c r="Q1" s="4"/>
      <c r="R1" s="4"/>
      <c r="S1" s="4"/>
      <c r="T1" s="4"/>
      <c r="U1" s="4"/>
      <c r="V1" s="4"/>
      <c r="W1" s="4"/>
      <c r="X1" s="4"/>
      <c r="Y1" s="4"/>
      <c r="Z1" s="4"/>
    </row>
    <row r="2" spans="1:26" x14ac:dyDescent="0.3">
      <c r="A2" s="4"/>
      <c r="B2" s="4"/>
      <c r="C2" s="4"/>
      <c r="D2" s="4"/>
      <c r="E2" s="4"/>
      <c r="F2" s="4"/>
      <c r="G2" s="4"/>
      <c r="H2" s="4"/>
      <c r="I2" s="4"/>
      <c r="J2" s="4"/>
      <c r="K2" s="4"/>
      <c r="L2" s="4"/>
      <c r="M2" s="4"/>
      <c r="N2" s="4"/>
      <c r="O2" s="4"/>
      <c r="P2" s="4"/>
      <c r="Q2" s="4"/>
      <c r="R2" s="4"/>
      <c r="S2" s="4"/>
      <c r="T2" s="4"/>
      <c r="U2" s="4"/>
      <c r="V2" s="4"/>
      <c r="W2" s="4"/>
      <c r="X2" s="4"/>
      <c r="Y2" s="4"/>
      <c r="Z2" s="4"/>
    </row>
    <row r="3" spans="1:26" x14ac:dyDescent="0.3">
      <c r="A3" s="4"/>
      <c r="B3" s="4"/>
      <c r="C3" s="4"/>
      <c r="D3" s="4"/>
      <c r="E3" s="4"/>
      <c r="F3" s="4"/>
      <c r="G3" s="4"/>
      <c r="H3" s="4"/>
      <c r="I3" s="4"/>
      <c r="J3" s="4"/>
      <c r="K3" s="4"/>
      <c r="L3" s="4"/>
      <c r="M3" s="4"/>
      <c r="N3" s="4"/>
      <c r="O3" s="4"/>
      <c r="P3" s="4"/>
      <c r="Q3" s="4"/>
      <c r="R3" s="4"/>
      <c r="S3" s="4"/>
      <c r="T3" s="4"/>
      <c r="U3" s="4"/>
      <c r="V3" s="4"/>
      <c r="W3" s="4"/>
      <c r="X3" s="4"/>
      <c r="Y3" s="4"/>
      <c r="Z3" s="4"/>
    </row>
    <row r="4" spans="1:26" x14ac:dyDescent="0.3">
      <c r="A4" s="4"/>
      <c r="B4" s="4"/>
      <c r="C4" s="4"/>
      <c r="D4" s="4"/>
      <c r="E4" s="4"/>
      <c r="F4" s="4"/>
      <c r="G4" s="4"/>
      <c r="H4" s="4"/>
      <c r="I4" s="4"/>
      <c r="J4" s="4"/>
      <c r="K4" s="4"/>
      <c r="L4" s="4"/>
      <c r="M4" s="4"/>
      <c r="N4" s="4"/>
      <c r="O4" s="4"/>
      <c r="P4" s="4"/>
      <c r="Q4" s="4"/>
      <c r="R4" s="4"/>
      <c r="S4" s="4"/>
      <c r="T4" s="4"/>
      <c r="U4" s="4"/>
      <c r="V4" s="4"/>
      <c r="W4" s="4"/>
      <c r="X4" s="4"/>
      <c r="Y4" s="4"/>
      <c r="Z4" s="4"/>
    </row>
    <row r="5" spans="1:26" x14ac:dyDescent="0.3">
      <c r="A5" s="4"/>
      <c r="B5" s="4"/>
      <c r="C5" s="4"/>
      <c r="D5" s="4"/>
      <c r="E5" s="4"/>
      <c r="F5" s="4"/>
      <c r="G5" s="4"/>
      <c r="H5" s="4"/>
      <c r="I5" s="4"/>
      <c r="J5" s="4"/>
      <c r="K5" s="4"/>
      <c r="L5" s="4"/>
      <c r="M5" s="4"/>
      <c r="N5" s="4"/>
      <c r="O5" s="4"/>
      <c r="P5" s="4"/>
      <c r="Q5" s="4"/>
      <c r="R5" s="4"/>
      <c r="S5" s="4"/>
      <c r="T5" s="4"/>
      <c r="U5" s="4"/>
      <c r="V5" s="4"/>
      <c r="W5" s="4"/>
      <c r="X5" s="4"/>
      <c r="Y5" s="4"/>
      <c r="Z5" s="4"/>
    </row>
    <row r="6" spans="1:26" x14ac:dyDescent="0.3">
      <c r="A6" s="4"/>
      <c r="B6" s="4"/>
      <c r="C6" s="4"/>
      <c r="D6" s="4"/>
      <c r="E6" s="4"/>
      <c r="F6" s="4"/>
      <c r="G6" s="4"/>
      <c r="H6" s="4"/>
      <c r="I6" s="4"/>
      <c r="J6" s="4"/>
      <c r="K6" s="4"/>
      <c r="L6" s="4"/>
      <c r="M6" s="4"/>
      <c r="N6" s="4"/>
      <c r="O6" s="4"/>
      <c r="P6" s="4"/>
      <c r="Q6" s="4"/>
      <c r="R6" s="4"/>
      <c r="S6" s="4"/>
      <c r="T6" s="4"/>
      <c r="U6" s="4"/>
      <c r="V6" s="4"/>
      <c r="W6" s="4"/>
      <c r="X6" s="4"/>
      <c r="Y6" s="4"/>
      <c r="Z6" s="4"/>
    </row>
    <row r="7" spans="1:26" x14ac:dyDescent="0.3">
      <c r="A7" s="4"/>
      <c r="B7" s="4"/>
      <c r="C7" s="4"/>
      <c r="D7" s="4"/>
      <c r="E7" s="4"/>
      <c r="F7" s="4"/>
      <c r="G7" s="4"/>
      <c r="H7" s="4"/>
      <c r="I7" s="4"/>
      <c r="J7" s="4"/>
      <c r="K7" s="4"/>
      <c r="L7" s="4"/>
      <c r="M7" s="4"/>
      <c r="N7" s="4"/>
      <c r="O7" s="4"/>
      <c r="P7" s="4"/>
      <c r="Q7" s="4"/>
      <c r="R7" s="4"/>
      <c r="S7" s="4"/>
      <c r="T7" s="4"/>
      <c r="U7" s="4"/>
      <c r="V7" s="4"/>
      <c r="W7" s="4"/>
      <c r="X7" s="4"/>
      <c r="Y7" s="4"/>
      <c r="Z7" s="4"/>
    </row>
    <row r="8" spans="1:26" x14ac:dyDescent="0.3">
      <c r="A8" s="4"/>
      <c r="B8" s="4"/>
      <c r="C8" s="4"/>
      <c r="D8" s="4"/>
      <c r="E8" s="4"/>
      <c r="F8" s="4"/>
      <c r="G8" s="4"/>
      <c r="H8" s="4"/>
      <c r="I8" s="4"/>
      <c r="J8" s="4"/>
      <c r="K8" s="4"/>
      <c r="L8" s="4"/>
      <c r="M8" s="4"/>
      <c r="N8" s="4"/>
      <c r="O8" s="4"/>
      <c r="P8" s="4"/>
      <c r="Q8" s="4"/>
      <c r="R8" s="4"/>
      <c r="S8" s="4"/>
      <c r="T8" s="4"/>
      <c r="U8" s="4"/>
      <c r="V8" s="4"/>
      <c r="W8" s="4"/>
      <c r="X8" s="4"/>
      <c r="Y8" s="4"/>
      <c r="Z8" s="4"/>
    </row>
    <row r="9" spans="1:26" x14ac:dyDescent="0.3">
      <c r="A9" s="4"/>
      <c r="B9" s="4"/>
      <c r="C9" s="4"/>
      <c r="D9" s="4"/>
      <c r="E9" s="4"/>
      <c r="F9" s="4"/>
      <c r="G9" s="4"/>
      <c r="H9" s="4"/>
      <c r="I9" s="4"/>
      <c r="J9" s="4"/>
      <c r="K9" s="4"/>
      <c r="L9" s="4"/>
      <c r="M9" s="4"/>
      <c r="N9" s="4"/>
      <c r="O9" s="4"/>
      <c r="P9" s="4"/>
      <c r="Q9" s="4"/>
      <c r="R9" s="4"/>
      <c r="S9" s="4"/>
      <c r="T9" s="4"/>
      <c r="U9" s="4"/>
      <c r="V9" s="4"/>
      <c r="W9" s="4"/>
      <c r="X9" s="4"/>
      <c r="Y9" s="4"/>
      <c r="Z9" s="4"/>
    </row>
    <row r="10" spans="1:26" x14ac:dyDescent="0.3">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x14ac:dyDescent="0.3">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x14ac:dyDescent="0.3">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x14ac:dyDescent="0.3">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x14ac:dyDescent="0.3">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x14ac:dyDescent="0.3">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x14ac:dyDescent="0.3">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x14ac:dyDescent="0.3">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x14ac:dyDescent="0.3">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x14ac:dyDescent="0.3">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x14ac:dyDescent="0.3">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x14ac:dyDescent="0.3">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x14ac:dyDescent="0.3">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x14ac:dyDescent="0.3">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x14ac:dyDescent="0.3">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x14ac:dyDescent="0.3">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x14ac:dyDescent="0.3">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x14ac:dyDescent="0.3">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x14ac:dyDescent="0.3">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x14ac:dyDescent="0.3">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x14ac:dyDescent="0.3">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x14ac:dyDescent="0.3">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x14ac:dyDescent="0.3">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x14ac:dyDescent="0.3">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3">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3">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3">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3">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3">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3">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3">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3">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3">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3">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3">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3">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3">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3">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3">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3">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3">
      <c r="A50" s="4"/>
      <c r="B50" s="4"/>
      <c r="C50" s="4"/>
      <c r="D50" s="4"/>
      <c r="E50" s="4"/>
      <c r="F50" s="4"/>
      <c r="G50" s="4"/>
      <c r="H50" s="4"/>
      <c r="I50" s="4"/>
      <c r="J50" s="4"/>
      <c r="K50" s="4"/>
      <c r="L50" s="4"/>
      <c r="M50" s="4"/>
      <c r="N50" s="4"/>
      <c r="O50" s="4"/>
      <c r="P50" s="4"/>
      <c r="Q50" s="4"/>
      <c r="R50" s="4"/>
      <c r="S50" s="4"/>
      <c r="T50" s="4"/>
      <c r="U50" s="4"/>
      <c r="V50" s="4"/>
      <c r="W50" s="4"/>
      <c r="X50" s="4"/>
      <c r="Y50" s="4"/>
      <c r="Z50" s="4"/>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BADDF172-B826-4201-B861-B9807F2D71E7}">
  <ds:schemaRefs/>
</ds:datastoreItem>
</file>

<file path=customXml/itemProps2.xml><?xml version="1.0" encoding="utf-8"?>
<ds:datastoreItem xmlns:ds="http://schemas.openxmlformats.org/officeDocument/2006/customXml" ds:itemID="{168CB996-FBF0-4537-96C6-52A9339D4906}">
  <ds:schemaRefs/>
</ds:datastoreItem>
</file>

<file path=customXml/itemProps3.xml><?xml version="1.0" encoding="utf-8"?>
<ds:datastoreItem xmlns:ds="http://schemas.openxmlformats.org/officeDocument/2006/customXml" ds:itemID="{41F05D9C-3CF0-42F8-B75E-476FCFEB2001}">
  <ds:schemaRefs/>
</ds:datastoreItem>
</file>

<file path=customXml/itemProps4.xml><?xml version="1.0" encoding="utf-8"?>
<ds:datastoreItem xmlns:ds="http://schemas.openxmlformats.org/officeDocument/2006/customXml" ds:itemID="{F4C39BF8-F9CF-4AAA-9697-3E9DB852A625}">
  <ds:schemaRefs/>
</ds:datastoreItem>
</file>

<file path=customXml/itemProps5.xml><?xml version="1.0" encoding="utf-8"?>
<ds:datastoreItem xmlns:ds="http://schemas.openxmlformats.org/officeDocument/2006/customXml" ds:itemID="{BF0D7543-751E-400B-80C8-168FF54A01E5}">
  <ds:schemaRefs/>
</ds:datastoreItem>
</file>

<file path=customXml/itemProps6.xml><?xml version="1.0" encoding="utf-8"?>
<ds:datastoreItem xmlns:ds="http://schemas.openxmlformats.org/officeDocument/2006/customXml" ds:itemID="{35A44255-52C7-458A-8F75-264E01DAD875}">
  <ds:schemaRefs/>
</ds:datastoreItem>
</file>

<file path=customXml/itemProps7.xml><?xml version="1.0" encoding="utf-8"?>
<ds:datastoreItem xmlns:ds="http://schemas.openxmlformats.org/officeDocument/2006/customXml" ds:itemID="{E93739AF-7783-4B3D-A0CC-D16145F1B00D}">
  <ds:schemaRefs/>
</ds:datastoreItem>
</file>

<file path=customXml/itemProps8.xml><?xml version="1.0" encoding="utf-8"?>
<ds:datastoreItem xmlns:ds="http://schemas.openxmlformats.org/officeDocument/2006/customXml" ds:itemID="{C081EE5A-02CC-4196-9BF1-B98D39916FB2}">
  <ds:schemaRefs/>
</ds:datastoreItem>
</file>

<file path=customXml/itemProps9.xml><?xml version="1.0" encoding="utf-8"?>
<ds:datastoreItem xmlns:ds="http://schemas.openxmlformats.org/officeDocument/2006/customXml" ds:itemID="{FB9E663F-2C83-4C45-84FD-8E83A89D7508}">
  <ds:schemaRefs/>
</ds:datastoreItem>
</file>

<file path=customXml/itemProps10.xml><?xml version="1.0" encoding="utf-8"?>
<ds:datastoreItem xmlns:ds="http://schemas.openxmlformats.org/officeDocument/2006/customXml" ds:itemID="{F5012FDB-ACB5-4225-BA82-E08D42B02F08}">
  <ds:schemaRefs/>
</ds:datastoreItem>
</file>

<file path=customXml/itemProps11.xml><?xml version="1.0" encoding="utf-8"?>
<ds:datastoreItem xmlns:ds="http://schemas.openxmlformats.org/officeDocument/2006/customXml" ds:itemID="{67F57BFA-D92F-4229-95A8-BB83C0D435DD}">
  <ds:schemaRefs>
    <ds:schemaRef ds:uri="http://schemas.microsoft.com/DataMashup"/>
  </ds:schemaRefs>
</ds:datastoreItem>
</file>

<file path=customXml/itemProps12.xml><?xml version="1.0" encoding="utf-8"?>
<ds:datastoreItem xmlns:ds="http://schemas.openxmlformats.org/officeDocument/2006/customXml" ds:itemID="{172BB8AD-C07A-401A-AA04-563A856B467A}">
  <ds:schemaRefs/>
</ds:datastoreItem>
</file>

<file path=customXml/itemProps13.xml><?xml version="1.0" encoding="utf-8"?>
<ds:datastoreItem xmlns:ds="http://schemas.openxmlformats.org/officeDocument/2006/customXml" ds:itemID="{87EAFB9C-D780-4348-A382-111C460D5C20}">
  <ds:schemaRefs/>
</ds:datastoreItem>
</file>

<file path=customXml/itemProps14.xml><?xml version="1.0" encoding="utf-8"?>
<ds:datastoreItem xmlns:ds="http://schemas.openxmlformats.org/officeDocument/2006/customXml" ds:itemID="{1E90EEAB-096F-4E35-AA0D-27040087651E}">
  <ds:schemaRefs/>
</ds:datastoreItem>
</file>

<file path=customXml/itemProps15.xml><?xml version="1.0" encoding="utf-8"?>
<ds:datastoreItem xmlns:ds="http://schemas.openxmlformats.org/officeDocument/2006/customXml" ds:itemID="{1577C837-A1B0-494E-9364-094361AF8E92}">
  <ds:schemaRefs/>
</ds:datastoreItem>
</file>

<file path=customXml/itemProps16.xml><?xml version="1.0" encoding="utf-8"?>
<ds:datastoreItem xmlns:ds="http://schemas.openxmlformats.org/officeDocument/2006/customXml" ds:itemID="{7942025D-E5C7-4360-BD05-3ED3E116A5E2}">
  <ds:schemaRefs/>
</ds:datastoreItem>
</file>

<file path=customXml/itemProps17.xml><?xml version="1.0" encoding="utf-8"?>
<ds:datastoreItem xmlns:ds="http://schemas.openxmlformats.org/officeDocument/2006/customXml" ds:itemID="{521D1A86-3681-4D95-89E7-D242062EC8F2}">
  <ds:schemaRefs/>
</ds:datastoreItem>
</file>

<file path=customXml/itemProps18.xml><?xml version="1.0" encoding="utf-8"?>
<ds:datastoreItem xmlns:ds="http://schemas.openxmlformats.org/officeDocument/2006/customXml" ds:itemID="{2EC0C769-5233-419A-BE7F-AD6164F0C4A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No. of Patients visit daily</vt:lpstr>
      <vt:lpstr>Avg. Patient Wait Time daily</vt:lpstr>
      <vt:lpstr>Avg. Patient Satisfaction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Prince Madheshiya</dc:creator>
  <cp:lastModifiedBy>Prince Madheshiya</cp:lastModifiedBy>
  <dcterms:created xsi:type="dcterms:W3CDTF">2025-02-12T18:07:22Z</dcterms:created>
  <dcterms:modified xsi:type="dcterms:W3CDTF">2025-02-15T16:53:22Z</dcterms:modified>
</cp:coreProperties>
</file>